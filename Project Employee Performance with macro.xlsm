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p\Desktop\Rajan\"/>
    </mc:Choice>
  </mc:AlternateContent>
  <bookViews>
    <workbookView xWindow="0" yWindow="0" windowWidth="20490" windowHeight="7755" activeTab="4"/>
  </bookViews>
  <sheets>
    <sheet name="Break" sheetId="2" r:id="rId1"/>
    <sheet name="Efficiency" sheetId="3" r:id="rId2"/>
    <sheet name="Overall Performance" sheetId="4" r:id="rId3"/>
    <sheet name="Summary" sheetId="5" r:id="rId4"/>
    <sheet name="Dashboard" sheetId="6" r:id="rId5"/>
  </sheets>
  <definedNames>
    <definedName name="BData">Break!$A:$I</definedName>
    <definedName name="EData">Efficiency!$A:$Q</definedName>
    <definedName name="PData">'Overall Performance'!$A:$J</definedName>
  </definedNames>
  <calcPr calcId="152511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2" i="5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2" i="5"/>
</calcChain>
</file>

<file path=xl/sharedStrings.xml><?xml version="1.0" encoding="utf-8"?>
<sst xmlns="http://schemas.openxmlformats.org/spreadsheetml/2006/main" count="507" uniqueCount="196">
  <si>
    <t>Attended Calls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</si>
  <si>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</si>
  <si>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</si>
  <si>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</si>
  <si>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</si>
  <si>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</si>
  <si>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</si>
  <si>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</si>
  <si>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</si>
  <si>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</si>
  <si>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</si>
  <si>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</si>
  <si>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</si>
  <si>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</si>
  <si>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</si>
  <si>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</si>
  <si>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</si>
  <si>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</si>
  <si>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</si>
  <si>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</si>
  <si>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</si>
  <si>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</si>
  <si>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</si>
  <si>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</si>
  <si>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</si>
  <si>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</si>
  <si>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</si>
  <si>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</si>
  <si>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</si>
  <si>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</si>
  <si>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</si>
  <si>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</si>
  <si>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</si>
  <si>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</si>
  <si>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</si>
  <si>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</si>
  <si>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</si>
  <si>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</si>
  <si>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</si>
  <si>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</si>
  <si>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</si>
  <si>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</si>
  <si>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</si>
  <si>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</si>
  <si>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</si>
  <si>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</si>
  <si>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</si>
  <si>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</si>
  <si>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</si>
  <si>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</si>
  <si>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</si>
  <si>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</si>
  <si>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</si>
  <si>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</si>
  <si>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</si>
  <si>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</si>
  <si>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</si>
  <si>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</si>
  <si>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</si>
  <si>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</si>
  <si>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</si>
  <si>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</si>
  <si>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</si>
  <si>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</si>
  <si>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</si>
  <si>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</si>
  <si>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</si>
  <si>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</si>
  <si>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</si>
  <si>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</si>
  <si>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</si>
  <si>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</si>
  <si>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</si>
  <si>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</si>
  <si>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</si>
  <si>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</si>
  <si>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</si>
  <si>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</si>
  <si>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</si>
  <si>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</si>
  <si>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</si>
  <si>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</si>
  <si>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</si>
  <si>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</si>
  <si>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</si>
  <si>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</si>
  <si>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</si>
  <si>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</si>
  <si>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</si>
  <si>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</si>
  <si>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</si>
  <si>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</si>
  <si>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</si>
  <si>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</si>
  <si>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</si>
  <si>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</si>
  <si>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</si>
  <si>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</si>
  <si>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</si>
  <si>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</si>
  <si>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</si>
  <si>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</si>
  <si>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</si>
  <si>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</si>
  <si>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</si>
  <si>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</si>
  <si>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</si>
  <si>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</si>
  <si>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</si>
  <si>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</si>
  <si>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</si>
  <si>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</si>
  <si>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</si>
  <si>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</si>
  <si>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</si>
  <si>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</si>
  <si>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</si>
  <si>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</si>
  <si>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</si>
  <si>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</si>
  <si>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</si>
  <si>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</si>
  <si>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</si>
  <si>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</si>
  <si>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</si>
  <si>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</si>
  <si>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</si>
  <si>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</si>
  <si>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</si>
  <si>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</si>
  <si>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</si>
  <si>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</si>
  <si>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</si>
  <si>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</si>
  <si>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</si>
  <si>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</si>
  <si>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</si>
  <si>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</si>
  <si>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</si>
  <si>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</si>
  <si>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</si>
  <si>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</si>
  <si>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</si>
  <si>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</si>
  <si>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</si>
  <si>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</si>
  <si>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</si>
  <si>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</si>
  <si>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</si>
  <si>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</si>
  <si>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</si>
  <si>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</si>
  <si>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</si>
  <si>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</si>
  <si>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</si>
  <si>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</si>
  <si>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</si>
  <si>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</si>
  <si>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Employee</t>
  </si>
  <si>
    <t>Total Working Hours</t>
  </si>
  <si>
    <t xml:space="preserve">Work Efficiency 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</si>
  <si>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</si>
  <si>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</si>
  <si>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</si>
  <si>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</si>
  <si>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</si>
  <si>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</si>
  <si>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</si>
  <si>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</si>
  <si>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</si>
  <si>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</si>
  <si>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</si>
  <si>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</si>
  <si>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</si>
  <si>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</si>
  <si>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</si>
  <si>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</si>
  <si>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</si>
  <si>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</si>
  <si>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</si>
  <si>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</si>
  <si>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</si>
  <si>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Emp Name</t>
  </si>
  <si>
    <t>Total Number of working hours</t>
  </si>
  <si>
    <t>Work Efficiency</t>
  </si>
  <si>
    <t>Row Labels</t>
  </si>
  <si>
    <t>Ashok Kumar</t>
  </si>
  <si>
    <t>Manoj Kumar</t>
  </si>
  <si>
    <t>Rajesh Kumar</t>
  </si>
  <si>
    <t>Santosh Kumar</t>
  </si>
  <si>
    <t>Sunil Kumar</t>
  </si>
  <si>
    <t>Total Number of working Hours by Emp</t>
  </si>
  <si>
    <t>Report 1 Working Hours</t>
  </si>
  <si>
    <t xml:space="preserve"> </t>
  </si>
  <si>
    <t>Sum of Active With Cust.</t>
  </si>
  <si>
    <t>Report 2 Active with Cust.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</si>
</sst>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21" fontId="0" fillId="0" borderId="0" xfId="0" applyNumberFormat="1"/>
    <xf numFmtId="10" fontId="0" fillId="0" borderId="0" xfId="0" applyNumberFormat="1"/>
    <xf numFmtId="0" fontId="2" fillId="2" borderId="0" xfId="0" applyFont="1" applyFill="1"/>
    <xf numFmtId="0" fontId="5" fillId="2" borderId="0" xfId="0" applyFont="1" applyFill="1"/>
    <xf numFmtId="164" fontId="0" fillId="0" borderId="0" xfId="0" applyNumberFormat="1"/>
    <xf numFmtId="9" fontId="0" fillId="0" borderId="0" xfId="1" applyNumberFormat="1" applyFont="1"/>
    <xf numFmtId="0" fontId="0" fillId="0" borderId="0" xfId="0" applyAlignment="1">
      <alignment horizontal="left"/>
    </xf>
    <xf numFmtId="0" fontId="3" fillId="0" borderId="0" xfId="0" applyFont="1"/>
    <xf numFmtId="0" fontId="3" fillId="0" borderId="0" xfId="0" pivotButton="1" applyFont="1"/>
    <xf numFmtId="0" fontId="0" fillId="5" borderId="0" xfId="0" applyFill="1"/>
    <xf numFmtId="0" fontId="4" fillId="3" borderId="0" xfId="0" applyFont="1" applyFill="1"/>
    <xf numFmtId="0" fontId="6" fillId="4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5">
    <dxf>
      <font>
        <b/>
      </font>
    </dxf>
    <dxf>
      <font>
        <b/>
      </font>
    </dxf>
    <dxf>
      <numFmt numFmtId="14" formatCode="0.00%"/>
    </dxf>
    <dxf>
      <font>
        <b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[Project Employee Performance with macro.xlsm]Dashboard!PivotTable1</c:name>
    <c:fmtId val="0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solidFill>
              <a:schemeClr val="accent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Dashboard!$B$5:$B$9</c:f>
              <c:numCache>
                <c:formatCode>[$-F400]h:mm:ss\ AM/PM</c:formatCode>
                <c:ptCount val="5"/>
                <c:pt idx="0">
                  <c:v>1.3668402777777777</c:v>
                </c:pt>
                <c:pt idx="1">
                  <c:v>0.66396990740740736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6661080"/>
        <c:axId val="336661464"/>
      </c:barChart>
      <c:catAx>
        <c:axId val="336661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661464"/>
        <c:crosses val="autoZero"/>
        <c:auto val="1"/>
        <c:lblAlgn val="ctr"/>
        <c:lblOffset val="100"/>
        <c:noMultiLvlLbl val="0"/>
      </c:catAx>
      <c:valAx>
        <c:axId val="336661464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33666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Employee Performance with macro.xlsm]Dashboard!PivotTable2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layout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Dashboard!$D$5:$D$9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Dashboard!$E$5:$E$9</c:f>
              <c:numCache>
                <c:formatCode>0.00%</c:formatCode>
                <c:ptCount val="5"/>
                <c:pt idx="0">
                  <c:v>2.0905</c:v>
                </c:pt>
                <c:pt idx="1">
                  <c:v>1.0643</c:v>
                </c:pt>
                <c:pt idx="2">
                  <c:v>1.1227999999999998</c:v>
                </c:pt>
                <c:pt idx="3">
                  <c:v>1.7236</c:v>
                </c:pt>
                <c:pt idx="4">
                  <c:v>0.80509999999999993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22" fmlaLink="$C$1" max="200" min="1" page="10" val="5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19050</xdr:rowOff>
    </xdr:from>
    <xdr:to>
      <xdr:col>2</xdr:col>
      <xdr:colOff>9525</xdr:colOff>
      <xdr:row>20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55562</xdr:rowOff>
    </xdr:from>
    <xdr:to>
      <xdr:col>0</xdr:col>
      <xdr:colOff>785811</xdr:colOff>
      <xdr:row>1</xdr:row>
      <xdr:rowOff>158750</xdr:rowOff>
    </xdr:to>
    <xdr:sp macro="" textlink="">
      <xdr:nvSpPr>
        <xdr:cNvPr id="3" name="Right Arrow 2"/>
        <xdr:cNvSpPr/>
      </xdr:nvSpPr>
      <xdr:spPr>
        <a:xfrm>
          <a:off x="0" y="55562"/>
          <a:ext cx="785811" cy="293688"/>
        </a:xfrm>
        <a:prstGeom prst="rightArrow">
          <a:avLst>
            <a:gd name="adj1" fmla="val 100000"/>
            <a:gd name="adj2" fmla="val 79464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00" b="1"/>
            <a:t>CHART</a:t>
          </a:r>
        </a:p>
      </xdr:txBody>
    </xdr:sp>
    <xdr:clientData/>
  </xdr:twoCellAnchor>
  <xdr:twoCellAnchor>
    <xdr:from>
      <xdr:col>1</xdr:col>
      <xdr:colOff>1420812</xdr:colOff>
      <xdr:row>0</xdr:row>
      <xdr:rowOff>31750</xdr:rowOff>
    </xdr:from>
    <xdr:to>
      <xdr:col>1</xdr:col>
      <xdr:colOff>2413000</xdr:colOff>
      <xdr:row>1</xdr:row>
      <xdr:rowOff>174625</xdr:rowOff>
    </xdr:to>
    <xdr:sp macro="" textlink="">
      <xdr:nvSpPr>
        <xdr:cNvPr id="6" name="Left Arrow 5"/>
        <xdr:cNvSpPr/>
      </xdr:nvSpPr>
      <xdr:spPr>
        <a:xfrm>
          <a:off x="2373312" y="31750"/>
          <a:ext cx="992188" cy="333375"/>
        </a:xfrm>
        <a:prstGeom prst="leftArrow">
          <a:avLst>
            <a:gd name="adj1" fmla="val 100000"/>
            <a:gd name="adj2" fmla="val 88298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00" b="1"/>
            <a:t>RECORDS</a:t>
          </a:r>
        </a:p>
      </xdr:txBody>
    </xdr:sp>
    <xdr:clientData/>
  </xdr:twoCellAnchor>
  <xdr:twoCellAnchor>
    <xdr:from>
      <xdr:col>1</xdr:col>
      <xdr:colOff>896937</xdr:colOff>
      <xdr:row>0</xdr:row>
      <xdr:rowOff>0</xdr:rowOff>
    </xdr:from>
    <xdr:to>
      <xdr:col>1</xdr:col>
      <xdr:colOff>1412875</xdr:colOff>
      <xdr:row>1</xdr:row>
      <xdr:rowOff>174625</xdr:rowOff>
    </xdr:to>
    <xdr:sp macro="" textlink="$C$1">
      <xdr:nvSpPr>
        <xdr:cNvPr id="7" name="Rounded Rectangle 6"/>
        <xdr:cNvSpPr/>
      </xdr:nvSpPr>
      <xdr:spPr>
        <a:xfrm>
          <a:off x="1849437" y="0"/>
          <a:ext cx="515938" cy="36512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ADF7EEB-5563-4AB0-B3C0-735F49E0D074}" type="TxLink">
            <a:rPr lang="en-US" sz="2000" b="1" i="0" u="none" strike="noStrike">
              <a:solidFill>
                <a:srgbClr val="000000"/>
              </a:solidFill>
              <a:latin typeface="Arial Black" panose="020B0A04020102020204" pitchFamily="34" charset="0"/>
              <a:cs typeface="Calibri"/>
            </a:rPr>
            <a:pPr algn="r"/>
            <a:t>5</a:t>
          </a:fld>
          <a:endParaRPr lang="en-IN" sz="2000" b="1">
            <a:latin typeface="Arial Black" panose="020B0A04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0</xdr:row>
          <xdr:rowOff>0</xdr:rowOff>
        </xdr:from>
        <xdr:to>
          <xdr:col>1</xdr:col>
          <xdr:colOff>1028700</xdr:colOff>
          <xdr:row>1</xdr:row>
          <xdr:rowOff>161925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571499</xdr:colOff>
      <xdr:row>9</xdr:row>
      <xdr:rowOff>121228</xdr:rowOff>
    </xdr:from>
    <xdr:to>
      <xdr:col>5</xdr:col>
      <xdr:colOff>34636</xdr:colOff>
      <xdr:row>20</xdr:row>
      <xdr:rowOff>121228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0</xdr:row>
      <xdr:rowOff>55562</xdr:rowOff>
    </xdr:from>
    <xdr:to>
      <xdr:col>3</xdr:col>
      <xdr:colOff>785811</xdr:colOff>
      <xdr:row>1</xdr:row>
      <xdr:rowOff>158750</xdr:rowOff>
    </xdr:to>
    <xdr:sp macro="" textlink="">
      <xdr:nvSpPr>
        <xdr:cNvPr id="27" name="Right Arrow 26"/>
        <xdr:cNvSpPr/>
      </xdr:nvSpPr>
      <xdr:spPr>
        <a:xfrm>
          <a:off x="0" y="55562"/>
          <a:ext cx="785811" cy="293688"/>
        </a:xfrm>
        <a:prstGeom prst="rightArrow">
          <a:avLst>
            <a:gd name="adj1" fmla="val 100000"/>
            <a:gd name="adj2" fmla="val 79464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00" b="1"/>
            <a:t>CHART</a:t>
          </a:r>
        </a:p>
      </xdr:txBody>
    </xdr:sp>
    <xdr:clientData/>
  </xdr:twoCellAnchor>
  <xdr:twoCellAnchor>
    <xdr:from>
      <xdr:col>4</xdr:col>
      <xdr:colOff>1420812</xdr:colOff>
      <xdr:row>0</xdr:row>
      <xdr:rowOff>31750</xdr:rowOff>
    </xdr:from>
    <xdr:to>
      <xdr:col>4</xdr:col>
      <xdr:colOff>2413000</xdr:colOff>
      <xdr:row>1</xdr:row>
      <xdr:rowOff>174625</xdr:rowOff>
    </xdr:to>
    <xdr:sp macro="" textlink="">
      <xdr:nvSpPr>
        <xdr:cNvPr id="28" name="Left Arrow 27"/>
        <xdr:cNvSpPr/>
      </xdr:nvSpPr>
      <xdr:spPr>
        <a:xfrm>
          <a:off x="2373312" y="31750"/>
          <a:ext cx="992188" cy="333375"/>
        </a:xfrm>
        <a:prstGeom prst="leftArrow">
          <a:avLst>
            <a:gd name="adj1" fmla="val 100000"/>
            <a:gd name="adj2" fmla="val 88298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00" b="1"/>
            <a:t>RECORDS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p" refreshedDate="45056.781845949074" createdVersion="5" refreshedVersion="5" minRefreshableVersion="3" recordCount="149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rking hours" numFmtId="164">
      <sharedItems containsSemiMixedTypes="0" containsNonDate="0" containsDate="1" containsString="0" minDate="1899-12-30T04:56:13" maxDate="1899-12-30T09:16:31"/>
    </cacheField>
    <cacheField name="Work Efficiency" numFmtId="164">
      <sharedItems containsSemiMixedTypes="0" containsNonDate="0" containsDate="1" containsString="0" minDate="1899-12-30T00:00:00" maxDate="1899-12-30T05:52:08"/>
    </cacheField>
    <cacheField name="Total Break Taken" numFmtId="164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500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9">
  <r>
    <s v="Mum_Abdul Hamid (1008512)"/>
    <x v="0"/>
    <d v="1899-12-30T08:15:43"/>
    <d v="1899-12-30T04:57:59"/>
    <d v="1899-12-30T01:08:42"/>
    <n v="98"/>
    <n v="0.55700000000000005"/>
  </r>
  <r>
    <s v="Mum_Afzal Husain (1008513)"/>
    <x v="1"/>
    <d v="1899-12-30T08:15:36"/>
    <d v="1899-12-30T04:58:34"/>
    <d v="1899-12-30T01:09:59"/>
    <n v="23"/>
    <n v="0.58030000000000004"/>
  </r>
  <r>
    <s v="Mum_Anamika Gupta (1008514)"/>
    <x v="2"/>
    <d v="1899-12-30T08:16:57"/>
    <d v="1899-12-30T04:49:35"/>
    <d v="1899-12-30T01:13:54"/>
    <n v="28"/>
    <n v="0.5171"/>
  </r>
  <r>
    <s v="Mum_Anikuttan (1008515)"/>
    <x v="3"/>
    <d v="1899-12-30T08:09:56"/>
    <d v="1899-12-30T04:17:32"/>
    <d v="1899-12-30T02:19:02"/>
    <n v="29"/>
    <n v="0.47720000000000001"/>
  </r>
  <r>
    <s v="Mum_Anil Kumar (1008516)"/>
    <x v="4"/>
    <d v="1899-12-30T07:20:41"/>
    <d v="1899-12-30T03:19:44"/>
    <d v="1899-12-30T03:04:58"/>
    <n v="93"/>
    <n v="0.43290000000000001"/>
  </r>
  <r>
    <s v="Mum_Anita Dixit (1008517)"/>
    <x v="5"/>
    <d v="1899-12-30T05:00:09"/>
    <d v="1899-12-30T03:41:19"/>
    <d v="1899-12-30T00:27:07"/>
    <n v="92"/>
    <n v="0.65500000000000003"/>
  </r>
  <r>
    <s v="Mum_Anita Ghore (1008518)"/>
    <x v="6"/>
    <d v="1899-12-30T08:16:38"/>
    <d v="1899-12-30T04:12:46"/>
    <d v="1899-12-30T02:41:42"/>
    <n v="26"/>
    <n v="0.49480000000000002"/>
  </r>
  <r>
    <s v="Mum_Anjali Deoram (1008519)"/>
    <x v="7"/>
    <d v="1899-12-30T09:16:31"/>
    <d v="1899-12-30T05:52:08"/>
    <d v="1899-12-30T01:13:10"/>
    <n v="90"/>
    <n v="0.55130000000000001"/>
  </r>
  <r>
    <s v="Mum_Anjali Sahay (1008520)"/>
    <x v="8"/>
    <d v="1899-12-30T08:13:18"/>
    <d v="1899-12-30T04:52:29"/>
    <d v="1899-12-30T01:06:39"/>
    <n v="89"/>
    <n v="0.55210000000000004"/>
  </r>
  <r>
    <s v="Mum_Annu Latika (1008521)"/>
    <x v="9"/>
    <d v="1899-12-30T08:20:41"/>
    <d v="1899-12-30T04:58:07"/>
    <d v="1899-12-30T01:09:57"/>
    <n v="54"/>
    <n v="0.56869999999999998"/>
  </r>
  <r>
    <s v="Mum_Anoop Narayan (1008522)"/>
    <x v="10"/>
    <d v="1899-12-30T08:10:35"/>
    <d v="1899-12-30T04:55:28"/>
    <d v="1899-12-30T01:09:15"/>
    <n v="87"/>
    <n v="0.56040000000000001"/>
  </r>
  <r>
    <s v="Mum_Anoop Raj (1008523)"/>
    <x v="11"/>
    <d v="1899-12-30T08:04:10"/>
    <d v="1899-12-30T03:47:42"/>
    <d v="1899-12-30T03:01:18"/>
    <n v="65"/>
    <n v="0.41549999999999998"/>
  </r>
  <r>
    <s v="Mum_Anubhuti Gupta (1008524)"/>
    <x v="12"/>
    <d v="1899-12-30T08:14:38"/>
    <d v="1899-12-30T04:43:40"/>
    <d v="1899-12-30T02:06:41"/>
    <n v="85"/>
    <n v="0.50029999999999997"/>
  </r>
  <r>
    <s v="Mum_Arun Kumar (1008525)"/>
    <x v="13"/>
    <d v="1899-12-30T07:59:50"/>
    <d v="1899-12-30T04:40:27"/>
    <d v="1899-12-30T01:10:34"/>
    <n v="65"/>
    <n v="0.51400000000000001"/>
  </r>
  <r>
    <s v="Mum_Ashish Kumar (1008526)"/>
    <x v="14"/>
    <d v="1899-12-30T08:16:59"/>
    <d v="1899-12-30T04:57:35"/>
    <d v="1899-12-30T01:16:59"/>
    <n v="83"/>
    <n v="0.51060000000000005"/>
  </r>
  <r>
    <s v="Mum_Ashok Kumar (1008527)"/>
    <x v="15"/>
    <d v="1899-12-30T08:17:15"/>
    <d v="1899-12-30T04:10:25"/>
    <d v="1899-12-30T02:24:20"/>
    <n v="82"/>
    <n v="0.4829"/>
  </r>
  <r>
    <s v="Hyd_Ashok Kumar (1008528)"/>
    <x v="15"/>
    <d v="1899-12-30T07:53:01"/>
    <d v="1899-12-30T04:44:12"/>
    <d v="1899-12-30T00:56:29"/>
    <n v="81"/>
    <n v="0.5736"/>
  </r>
  <r>
    <s v="Hyd_Ashok Kumar (1008529)"/>
    <x v="15"/>
    <d v="1899-12-30T08:16:43"/>
    <d v="1899-12-30T04:58:07"/>
    <d v="1899-12-30T01:10:07"/>
    <n v="80"/>
    <n v="0.56430000000000002"/>
  </r>
  <r>
    <s v="Hyd_Ashok Kumar (1008530)"/>
    <x v="15"/>
    <d v="1899-12-30T08:21:16"/>
    <d v="1899-12-30T04:23:03"/>
    <d v="1899-12-30T02:40:10"/>
    <n v="79"/>
    <n v="0.46970000000000001"/>
  </r>
  <r>
    <s v="Hyd_Ashok Mahto (1008531)"/>
    <x v="16"/>
    <d v="1899-12-30T08:17:52"/>
    <d v="1899-12-30T04:58:14"/>
    <d v="1899-12-30T01:14:30"/>
    <n v="78"/>
    <n v="0.57499999999999996"/>
  </r>
  <r>
    <s v="Hyd_Atul Kumar (1008532)"/>
    <x v="17"/>
    <d v="1899-12-30T08:13:41"/>
    <d v="1899-12-30T04:53:40"/>
    <d v="1899-12-30T01:06:59"/>
    <n v="77"/>
    <n v="0.57950000000000002"/>
  </r>
  <r>
    <s v="Hyd_Azam (1008533)"/>
    <x v="18"/>
    <d v="1899-12-30T08:17:34"/>
    <d v="1899-12-30T04:59:50"/>
    <d v="1899-12-30T01:09:47"/>
    <n v="76"/>
    <n v="0.58830000000000005"/>
  </r>
  <r>
    <s v="Hyd_Bhagwat Singh (1008534)"/>
    <x v="19"/>
    <d v="1899-12-30T07:41:44"/>
    <d v="1899-12-30T04:08:57"/>
    <d v="1899-12-30T02:10:18"/>
    <n v="75"/>
    <n v="0.4627"/>
  </r>
  <r>
    <s v="Hyd_Bindu Nair (1008535)"/>
    <x v="20"/>
    <d v="1899-12-30T08:10:04"/>
    <d v="1899-12-30T04:14:05"/>
    <d v="1899-12-30T02:11:17"/>
    <n v="74"/>
    <n v="0.47799999999999998"/>
  </r>
  <r>
    <s v="Hyd_Daleep Singh (1008536)"/>
    <x v="21"/>
    <d v="1899-12-30T08:14:20"/>
    <d v="1899-12-30T05:26:56"/>
    <d v="1899-12-30T01:12:54"/>
    <n v="73"/>
    <n v="0.5998"/>
  </r>
  <r>
    <s v="Hyd_Deepak Kumar (1008537)"/>
    <x v="22"/>
    <d v="1899-12-30T07:35:57"/>
    <d v="1899-12-30T05:05:16"/>
    <d v="1899-12-30T00:30:30"/>
    <n v="72"/>
    <n v="0.65029999999999999"/>
  </r>
  <r>
    <s v="Hyd_Deepika Nigam (1008538)"/>
    <x v="23"/>
    <d v="1899-12-30T08:16:59"/>
    <d v="1899-12-30T04:56:45"/>
    <d v="1899-12-30T01:11:40"/>
    <n v="71"/>
    <n v="0.55000000000000004"/>
  </r>
  <r>
    <s v="Hyd_Dinesh Kumar (1008539)"/>
    <x v="24"/>
    <d v="1899-12-30T08:13:53"/>
    <d v="1899-12-30T05:06:20"/>
    <d v="1899-12-30T01:10:03"/>
    <n v="70"/>
    <n v="0.51329999999999998"/>
  </r>
  <r>
    <s v="Hyd_Hari Kumar (1008540)"/>
    <x v="25"/>
    <d v="1899-12-30T08:15:11"/>
    <d v="1899-12-30T04:11:43"/>
    <d v="1899-12-30T02:44:52"/>
    <n v="69"/>
    <n v="0.436"/>
  </r>
  <r>
    <s v="Hyd_Heeramani Choudhary (1008541)"/>
    <x v="26"/>
    <d v="1899-12-30T07:27:24"/>
    <d v="1899-12-30T04:35:28"/>
    <d v="1899-12-30T01:20:20"/>
    <n v="68"/>
    <n v="0.52949999999999997"/>
  </r>
  <r>
    <s v="Hyd_Indra Pal (1008542)"/>
    <x v="27"/>
    <d v="1899-12-30T07:59:57"/>
    <d v="1899-12-30T05:14:16"/>
    <d v="1899-12-30T01:09:15"/>
    <n v="67"/>
    <n v="0.5645"/>
  </r>
  <r>
    <s v="Hyd_Indra Singh (1008543)"/>
    <x v="28"/>
    <d v="1899-12-30T08:17:44"/>
    <d v="1899-12-30T05:05:03"/>
    <d v="1899-12-30T02:09:14"/>
    <n v="66"/>
    <n v="0.49790000000000001"/>
  </r>
  <r>
    <s v="Hyd_Jagdish Chandra (1008544)"/>
    <x v="29"/>
    <d v="1899-12-30T08:19:10"/>
    <d v="1899-12-30T04:59:15"/>
    <d v="1899-12-30T01:09:03"/>
    <n v="65"/>
    <n v="0.56269999999999998"/>
  </r>
  <r>
    <s v="Hyd_Jairaj Vatham (1008545)"/>
    <x v="30"/>
    <d v="1899-12-30T08:16:23"/>
    <d v="1899-12-30T05:02:08"/>
    <d v="1899-12-30T01:09:56"/>
    <n v="64"/>
    <n v="0.57679999999999998"/>
  </r>
  <r>
    <s v="Hyd_Janardan Mishra (1008546)"/>
    <x v="31"/>
    <d v="1899-12-30T07:39:42"/>
    <d v="1899-12-30T04:32:56"/>
    <d v="1899-12-30T01:28:09"/>
    <n v="63"/>
    <n v="0.55730000000000002"/>
  </r>
  <r>
    <s v="Hyd_Jitendra Kumar (1008547)"/>
    <x v="32"/>
    <d v="1899-12-30T08:11:27"/>
    <d v="1899-12-30T04:07:41"/>
    <d v="1899-12-30T02:35:12"/>
    <n v="62"/>
    <n v="0.47589999999999999"/>
  </r>
  <r>
    <s v="Hyd_John D'Costa (1008548)"/>
    <x v="33"/>
    <d v="1899-12-30T08:09:47"/>
    <d v="1899-12-30T04:51:30"/>
    <d v="1899-12-30T01:09:36"/>
    <n v="61"/>
    <n v="0.55640000000000001"/>
  </r>
  <r>
    <s v="Hyd_Julie S (1008549)"/>
    <x v="34"/>
    <d v="1899-12-30T08:15:46"/>
    <d v="1899-12-30T04:56:12"/>
    <d v="1899-12-30T01:10:44"/>
    <n v="60"/>
    <n v="0.52800000000000002"/>
  </r>
  <r>
    <s v="Hyd_Jyoti Tulsani (1008550)"/>
    <x v="35"/>
    <d v="1899-12-30T08:15:19"/>
    <d v="1899-12-30T04:56:56"/>
    <d v="1899-12-30T01:10:27"/>
    <n v="59"/>
    <n v="0.56499999999999995"/>
  </r>
  <r>
    <s v="Hyd_Kahkasha Parveen (1008551)"/>
    <x v="36"/>
    <d v="1899-12-30T08:17:24"/>
    <d v="1899-12-30T05:25:18"/>
    <d v="1899-12-30T01:10:12"/>
    <n v="58"/>
    <n v="0.48580000000000001"/>
  </r>
  <r>
    <s v="Hyd_Kailash Nath (1008552)"/>
    <x v="37"/>
    <d v="1899-12-30T08:16:01"/>
    <d v="1899-12-30T04:58:27"/>
    <d v="1899-12-30T01:07:40"/>
    <n v="57"/>
    <n v="0.57230000000000003"/>
  </r>
  <r>
    <s v="Hyd_Kalpana Agrawal (1008553)"/>
    <x v="38"/>
    <d v="1899-12-30T08:00:08"/>
    <d v="1899-12-30T03:54:19"/>
    <d v="1899-12-30T02:24:54"/>
    <n v="56"/>
    <n v="0.46539999999999998"/>
  </r>
  <r>
    <s v="Hyd_Kamini Kumar (1008554)"/>
    <x v="39"/>
    <d v="1899-12-30T05:01:37"/>
    <d v="1899-12-30T03:21:30"/>
    <d v="1899-12-30T00:15:00"/>
    <n v="55"/>
    <n v="0.64380000000000004"/>
  </r>
  <r>
    <s v="Hyd_Kamini Tiwari (1008555)"/>
    <x v="40"/>
    <d v="1899-12-30T08:26:46"/>
    <d v="1899-12-30T05:18:49"/>
    <d v="1899-12-30T01:09:45"/>
    <n v="54"/>
    <n v="0.57350000000000001"/>
  </r>
  <r>
    <s v="Hyd_Kavita Sharma (1008556)"/>
    <x v="41"/>
    <d v="1899-12-30T07:53:25"/>
    <d v="1899-12-30T05:26:19"/>
    <d v="1899-12-30T00:56:19"/>
    <n v="53"/>
    <n v="0.6472"/>
  </r>
  <r>
    <s v="Hyd_Kiran Khubchandani (1008557)"/>
    <x v="42"/>
    <d v="1899-12-30T08:01:28"/>
    <d v="1899-12-30T04:13:15"/>
    <d v="1899-12-30T02:10:24"/>
    <n v="52"/>
    <n v="0.50439999999999996"/>
  </r>
  <r>
    <s v="Hyd_Kisun Sah (1008558)"/>
    <x v="43"/>
    <d v="1899-12-30T08:21:34"/>
    <d v="1899-12-30T05:08:41"/>
    <d v="1899-12-30T01:09:28"/>
    <n v="51"/>
    <n v="0.55279999999999996"/>
  </r>
  <r>
    <s v="Hyd_Krishana Kumar (1008559)"/>
    <x v="44"/>
    <d v="1899-12-30T08:15:28"/>
    <d v="1899-12-30T04:45:06"/>
    <d v="1899-12-30T01:09:45"/>
    <n v="50"/>
    <n v="0.55489999999999995"/>
  </r>
  <r>
    <s v="Hyd_Kunj Bihari (1008560)"/>
    <x v="45"/>
    <d v="1899-12-30T07:59:19"/>
    <d v="1899-12-30T04:42:13"/>
    <d v="1899-12-30T01:10:11"/>
    <n v="49"/>
    <n v="0.55220000000000002"/>
  </r>
  <r>
    <s v="Hyd_Leena George (1008561)"/>
    <x v="46"/>
    <d v="1899-12-30T04:56:13"/>
    <d v="1899-12-30T03:10:50"/>
    <d v="1899-12-30T00:18:10"/>
    <n v="48"/>
    <n v="0.58819999999999995"/>
  </r>
  <r>
    <s v="Hyd_Lilly Lucy (1008562)"/>
    <x v="47"/>
    <d v="1899-12-30T07:45:23"/>
    <d v="1899-12-30T04:39:06"/>
    <d v="1899-12-30T01:14:44"/>
    <n v="47"/>
    <n v="0.55530000000000002"/>
  </r>
  <r>
    <s v="Hyd_Mangal Singh (1008563)"/>
    <x v="48"/>
    <d v="1899-12-30T08:00:13"/>
    <d v="1899-12-30T04:46:25"/>
    <d v="1899-12-30T01:10:04"/>
    <n v="46"/>
    <n v="0.55820000000000003"/>
  </r>
  <r>
    <s v="Hyd_Manisha Shrivastava (1008564)"/>
    <x v="49"/>
    <d v="1899-12-30T08:09:49"/>
    <d v="1899-12-30T04:51:12"/>
    <d v="1899-12-30T01:10:09"/>
    <n v="45"/>
    <n v="0.53"/>
  </r>
  <r>
    <s v="Hyd_Manjusha Sinha (1008565)"/>
    <x v="50"/>
    <d v="1899-12-30T08:14:05"/>
    <d v="1899-12-30T05:04:01"/>
    <d v="1899-12-30T01:10:39"/>
    <n v="44"/>
    <n v="0.5464"/>
  </r>
  <r>
    <s v="Hyd_ManjuTiwari Lab (1008566)"/>
    <x v="51"/>
    <d v="1899-12-30T07:41:28"/>
    <d v="1899-12-30T04:26:11"/>
    <d v="1899-12-30T01:10:46"/>
    <n v="43"/>
    <n v="0.52849999999999997"/>
  </r>
  <r>
    <s v="Hyd_Manoj Kumar (1008567)"/>
    <x v="52"/>
    <d v="1899-12-30T08:00:44"/>
    <d v="1899-12-30T04:28:58"/>
    <d v="1899-12-30T01:09:53"/>
    <n v="42"/>
    <n v="0.53280000000000005"/>
  </r>
  <r>
    <s v="Hyd_Manoj Kumar (1008568)"/>
    <x v="52"/>
    <d v="1899-12-30T07:55:23"/>
    <d v="1899-12-30T04:29:51"/>
    <d v="1899-12-30T01:15:59"/>
    <n v="41"/>
    <n v="0.53149999999999997"/>
  </r>
  <r>
    <s v="Hyd_Masroor Adil (1008569)"/>
    <x v="53"/>
    <d v="1899-12-30T08:10:04"/>
    <d v="1899-12-30T05:04:35"/>
    <d v="1899-12-30T01:11:39"/>
    <n v="40"/>
    <n v="0.58950000000000002"/>
  </r>
  <r>
    <s v="Hyd_Meena Zinjare (1008570)"/>
    <x v="54"/>
    <d v="1899-12-30T08:05:29"/>
    <d v="1899-12-30T03:09:32"/>
    <d v="1899-12-30T03:34:45"/>
    <n v="39"/>
    <n v="0.34899999999999998"/>
  </r>
  <r>
    <s v="Hyd_Mehnaz Khan (1008571)"/>
    <x v="55"/>
    <d v="1899-12-30T08:14:51"/>
    <d v="1899-12-30T04:08:21"/>
    <d v="1899-12-30T02:12:24"/>
    <n v="38"/>
    <n v="0.4793"/>
  </r>
  <r>
    <s v="Hyd_Mercy Thampi (1008572)"/>
    <x v="56"/>
    <d v="1899-12-30T05:15:35"/>
    <d v="1899-12-30T03:38:44"/>
    <d v="1899-12-30T00:15:35"/>
    <n v="37"/>
    <n v="0.62760000000000005"/>
  </r>
  <r>
    <s v="Hyd_Miny Mole (1008573)"/>
    <x v="57"/>
    <d v="1899-12-30T08:12:10"/>
    <d v="1899-12-30T04:14:06"/>
    <d v="1899-12-30T02:13:07"/>
    <n v="36"/>
    <n v="0.47560000000000002"/>
  </r>
  <r>
    <s v="Hyd_Mohd Rafi (1008574)"/>
    <x v="58"/>
    <d v="1899-12-30T08:00:32"/>
    <d v="1899-12-30T03:55:15"/>
    <d v="1899-12-30T02:38:29"/>
    <n v="35"/>
    <n v="0.43640000000000001"/>
  </r>
  <r>
    <s v="Hyd_Mubeen Khan (1008575)"/>
    <x v="59"/>
    <d v="1899-12-30T07:55:35"/>
    <d v="1899-12-30T03:50:43"/>
    <d v="1899-12-30T02:24:38"/>
    <n v="34"/>
    <n v="0.45129999999999998"/>
  </r>
  <r>
    <s v="Hyd_Mukesh Nagar (1008576)"/>
    <x v="60"/>
    <d v="1899-12-30T05:01:07"/>
    <d v="1899-12-30T03:13:40"/>
    <d v="1899-12-30T00:29:34"/>
    <n v="33"/>
    <n v="0.61240000000000006"/>
  </r>
  <r>
    <s v="Hyd_Nandu Kumar (1008577)"/>
    <x v="61"/>
    <d v="1899-12-30T08:21:39"/>
    <d v="1899-12-30T04:43:39"/>
    <d v="1899-12-30T01:14:03"/>
    <n v="32"/>
    <n v="0.51759999999999995"/>
  </r>
  <r>
    <s v="Hyd_Narayan Singh (1008578)"/>
    <x v="62"/>
    <d v="1899-12-30T08:19:29"/>
    <d v="1899-12-30T04:54:19"/>
    <d v="1899-12-30T01:08:27"/>
    <n v="31"/>
    <n v="0.55549999999999999"/>
  </r>
  <r>
    <s v="Hyd_Neeraj Saxena (1008579)"/>
    <x v="63"/>
    <d v="1899-12-30T08:21:13"/>
    <d v="1899-12-30T04:36:09"/>
    <d v="1899-12-30T02:15:18"/>
    <n v="30"/>
    <n v="0.45540000000000003"/>
  </r>
  <r>
    <s v="Hyd_Neeru Mehta (1008580)"/>
    <x v="64"/>
    <d v="1899-12-30T08:02:20"/>
    <d v="1899-12-30T04:44:15"/>
    <d v="1899-12-30T01:10:03"/>
    <n v="29"/>
    <n v="0.53449999999999998"/>
  </r>
  <r>
    <s v="Hyd_Nikita Panwalkar (1008581)"/>
    <x v="65"/>
    <d v="1899-12-30T08:16:46"/>
    <d v="1899-12-30T04:58:45"/>
    <d v="1899-12-30T01:37:25"/>
    <n v="28"/>
    <n v="0.55910000000000004"/>
  </r>
  <r>
    <s v="Hyd_Nitin Bhatia (1008582)"/>
    <x v="66"/>
    <d v="1899-12-30T08:00:37"/>
    <d v="1899-12-30T04:44:56"/>
    <d v="1899-12-30T01:09:53"/>
    <n v="29"/>
    <n v="0.56850000000000001"/>
  </r>
  <r>
    <s v="Hyd_Om Prakash (1008583)"/>
    <x v="67"/>
    <d v="1899-12-30T07:55:44"/>
    <d v="1899-12-30T04:26:21"/>
    <d v="1899-12-30T01:36:03"/>
    <n v="30"/>
    <n v="0.47510000000000002"/>
  </r>
  <r>
    <s v="Hyd_Omprakash O (1008584)"/>
    <x v="68"/>
    <d v="1899-12-30T08:09:43"/>
    <d v="1899-12-30T04:02:05"/>
    <d v="1899-12-30T02:11:54"/>
    <n v="31"/>
    <n v="0.4758"/>
  </r>
  <r>
    <s v="Hyd_Owais Mohd (1008585)"/>
    <x v="69"/>
    <d v="1899-12-30T08:01:11"/>
    <d v="1899-12-30T04:02:50"/>
    <d v="1899-12-30T02:26:26"/>
    <n v="32"/>
    <n v="0.46899999999999997"/>
  </r>
  <r>
    <s v="Hyd_Pankaj Shelkey (1008586)"/>
    <x v="70"/>
    <d v="1899-12-30T08:15:54"/>
    <d v="1899-12-30T04:26:54"/>
    <d v="1899-12-30T01:55:26"/>
    <n v="33"/>
    <n v="0.51359999999999995"/>
  </r>
  <r>
    <s v="Hyd_Partha Sarathi (1008587)"/>
    <x v="71"/>
    <d v="1899-12-30T08:32:22"/>
    <d v="1899-12-30T05:11:39"/>
    <d v="1899-12-30T01:38:42"/>
    <n v="34"/>
    <n v="0.52510000000000001"/>
  </r>
  <r>
    <s v="Hyd_Prabha Desikan (1008588)"/>
    <x v="72"/>
    <d v="1899-12-30T08:21:49"/>
    <d v="1899-12-30T03:03:51"/>
    <d v="1899-12-30T04:11:26"/>
    <n v="35"/>
    <n v="0.34860000000000002"/>
  </r>
  <r>
    <s v="Hyd_Pramod Tiwari (1008589)"/>
    <x v="73"/>
    <d v="1899-12-30T08:25:20"/>
    <d v="1899-12-30T02:54:03"/>
    <d v="1899-12-30T04:21:06"/>
    <n v="36"/>
    <n v="0.31469999999999998"/>
  </r>
  <r>
    <s v="Hyd_Prasannakumari S (1008590)"/>
    <x v="74"/>
    <d v="1899-12-30T08:08:02"/>
    <d v="1899-12-30T05:10:46"/>
    <d v="1899-12-30T01:10:25"/>
    <n v="37"/>
    <n v="0.55600000000000005"/>
  </r>
  <r>
    <s v="Hyd_Praveen Kumar (1008591)"/>
    <x v="75"/>
    <d v="1899-12-30T08:19:20"/>
    <d v="1899-12-30T04:08:46"/>
    <d v="1899-12-30T02:37:28"/>
    <n v="38"/>
    <n v="0.4622"/>
  </r>
  <r>
    <s v="Hyd_Rachel Mathew (1008592)"/>
    <x v="76"/>
    <d v="1899-12-30T08:25:36"/>
    <d v="1899-12-30T03:40:53"/>
    <d v="1899-12-30T03:20:01"/>
    <n v="39"/>
    <n v="0.39079999999999998"/>
  </r>
  <r>
    <s v="Hyd_Rachita Anupam (1008593)"/>
    <x v="77"/>
    <d v="1899-12-30T08:16:26"/>
    <d v="1899-12-30T05:16:03"/>
    <d v="1899-12-30T01:08:32"/>
    <n v="40"/>
    <n v="0.54710000000000003"/>
  </r>
  <r>
    <s v="Hyd_Rachna Chauhan (1008594)"/>
    <x v="78"/>
    <d v="1899-12-30T07:36:07"/>
    <d v="1899-12-30T05:07:23"/>
    <d v="1899-12-30T00:30:20"/>
    <n v="41"/>
    <n v="0.61460000000000004"/>
  </r>
  <r>
    <s v="Hyd_Raj Kumar (1008595)"/>
    <x v="79"/>
    <d v="1899-12-30T08:09:57"/>
    <d v="1899-12-30T05:03:51"/>
    <d v="1899-12-30T01:08:44"/>
    <n v="42"/>
    <n v="0.5534"/>
  </r>
  <r>
    <s v="Hyd_Rajeev Garg (1008596)"/>
    <x v="80"/>
    <d v="1899-12-30T08:04:00"/>
    <d v="1899-12-30T05:05:29"/>
    <d v="1899-12-30T01:08:24"/>
    <n v="43"/>
    <n v="0.61140000000000005"/>
  </r>
  <r>
    <s v="Hyd_Rajeev Kumar (1008597)"/>
    <x v="81"/>
    <d v="1899-12-30T07:59:43"/>
    <d v="1899-12-30T04:28:51"/>
    <d v="1899-12-30T01:37:06"/>
    <n v="44"/>
    <n v="0.51219999999999999"/>
  </r>
  <r>
    <s v="Hyd_Rajendra Gupta (1008598)"/>
    <x v="82"/>
    <d v="1899-12-30T08:25:57"/>
    <d v="1899-12-30T04:58:12"/>
    <d v="1899-12-30T01:19:08"/>
    <n v="45"/>
    <n v="0.56030000000000002"/>
  </r>
  <r>
    <s v="Hyd_Rajendra Kumar (1008599)"/>
    <x v="83"/>
    <d v="1899-12-30T08:14:44"/>
    <d v="1899-12-30T03:55:22"/>
    <d v="1899-12-30T02:34:16"/>
    <n v="46"/>
    <n v="0.4289"/>
  </r>
  <r>
    <s v="Hyd_Rajendra Prasad (1008600)"/>
    <x v="84"/>
    <d v="1899-12-30T08:22:34"/>
    <d v="1899-12-30T00:48:33"/>
    <d v="1899-12-30T07:08:19"/>
    <n v="47"/>
    <n v="9.4500000000000001E-2"/>
  </r>
  <r>
    <s v="Hyd_Rajesh Kumar (1008601)"/>
    <x v="85"/>
    <d v="1899-12-30T08:00:39"/>
    <d v="1899-12-30T05:11:50"/>
    <d v="1899-12-30T01:12:04"/>
    <n v="48"/>
    <n v="0.61019999999999996"/>
  </r>
  <r>
    <s v="Hyd_Rajesh Kumar (1008602)"/>
    <x v="85"/>
    <d v="1899-12-30T08:17:39"/>
    <d v="1899-12-30T04:49:40"/>
    <d v="1899-12-30T02:06:35"/>
    <n v="49"/>
    <n v="0.51259999999999994"/>
  </r>
  <r>
    <s v="Hyd_Rajesh Sharma (1008603)"/>
    <x v="86"/>
    <d v="1899-12-30T05:04:31"/>
    <d v="1899-12-30T03:24:21"/>
    <d v="1899-12-30T00:24:27"/>
    <n v="50"/>
    <n v="0.62429999999999997"/>
  </r>
  <r>
    <s v="Hyd_Raji Abraham (1008604)"/>
    <x v="87"/>
    <d v="1899-12-30T08:10:41"/>
    <d v="1899-12-30T04:44:35"/>
    <d v="1899-12-30T01:09:28"/>
    <n v="51"/>
    <n v="0.54369999999999996"/>
  </r>
  <r>
    <s v="Hyd_Rajshree Dhabekar (1008605)"/>
    <x v="88"/>
    <d v="1899-12-30T08:15:13"/>
    <d v="1899-12-30T00:00:00"/>
    <d v="1899-12-30T08:15:09"/>
    <n v="52"/>
    <n v="0"/>
  </r>
  <r>
    <s v="Hyd_Rakhi Jodhani (1008606)"/>
    <x v="89"/>
    <d v="1899-12-30T08:02:52"/>
    <d v="1899-12-30T01:13:06"/>
    <d v="1899-12-30T06:39:44"/>
    <n v="53"/>
    <n v="0.14430000000000001"/>
  </r>
  <r>
    <s v="Hyd_Ramji Prasad (1008607)"/>
    <x v="90"/>
    <d v="1899-12-30T08:19:26"/>
    <d v="1899-12-30T04:53:04"/>
    <d v="1899-12-30T01:13:46"/>
    <n v="54"/>
    <n v="0.55259999999999998"/>
  </r>
  <r>
    <s v="Del_Rashid (1008608)"/>
    <x v="91"/>
    <d v="1899-12-30T08:02:10"/>
    <d v="1899-12-30T01:36:08"/>
    <d v="1899-12-30T05:45:13"/>
    <n v="55"/>
    <n v="0.18940000000000001"/>
  </r>
  <r>
    <s v="Del_Rashmi Gajbe (1008609)"/>
    <x v="92"/>
    <d v="1899-12-30T08:20:42"/>
    <d v="1899-12-30T04:16:57"/>
    <d v="1899-12-30T02:04:58"/>
    <n v="56"/>
    <n v="0.4708"/>
  </r>
  <r>
    <s v="Del_Ravi Kumar (1008610)"/>
    <x v="93"/>
    <d v="1899-12-30T08:00:44"/>
    <d v="1899-12-30T04:47:03"/>
    <d v="1899-12-30T01:11:14"/>
    <n v="57"/>
    <n v="0.53859999999999997"/>
  </r>
  <r>
    <s v="Del_Ravinder Kaur (1008611)"/>
    <x v="94"/>
    <d v="1899-12-30T08:01:53"/>
    <d v="1899-12-30T04:38:57"/>
    <d v="1899-12-30T01:09:28"/>
    <n v="58"/>
    <n v="0.53290000000000004"/>
  </r>
  <r>
    <s v="Del_Rekha Agarwal (1008612)"/>
    <x v="95"/>
    <d v="1899-12-30T05:53:52"/>
    <d v="1899-12-30T02:53:07"/>
    <d v="1899-12-30T02:41:42"/>
    <n v="59"/>
    <n v="0.41310000000000002"/>
  </r>
  <r>
    <s v="Del_Rekha Gupta (1008613)"/>
    <x v="96"/>
    <d v="1899-12-30T08:16:02"/>
    <d v="1899-12-30T04:22:52"/>
    <d v="1899-12-30T01:50:37"/>
    <n v="60"/>
    <n v="0.50480000000000003"/>
  </r>
  <r>
    <s v="Del_Rekha Jain  (1008614)"/>
    <x v="97"/>
    <d v="1899-12-30T08:15:42"/>
    <d v="1899-12-30T04:25:29"/>
    <d v="1899-12-30T01:36:57"/>
    <n v="61"/>
    <n v="0.52390000000000003"/>
  </r>
  <r>
    <s v="Del_Renu Pratap (1008615)"/>
    <x v="98"/>
    <d v="1899-12-30T08:16:30"/>
    <d v="1899-12-30T02:30:29"/>
    <d v="1899-12-30T05:07:55"/>
    <n v="62"/>
    <n v="0.25440000000000002"/>
  </r>
  <r>
    <s v="Del_Ritu Bhatnagar (1008616)"/>
    <x v="99"/>
    <d v="1899-12-30T08:01:48"/>
    <d v="1899-12-30T04:52:13"/>
    <d v="1899-12-30T01:13:20"/>
    <n v="63"/>
    <n v="0.55520000000000003"/>
  </r>
  <r>
    <s v="Del_Rohit Nishchal (1008617)"/>
    <x v="100"/>
    <d v="1899-12-30T08:17:09"/>
    <d v="1899-12-30T00:00:00"/>
    <d v="1899-12-30T08:17:00"/>
    <n v="64"/>
    <n v="0"/>
  </r>
  <r>
    <s v="Del_Roli Bhatnagar (1008618)"/>
    <x v="101"/>
    <d v="1899-12-30T08:15:43"/>
    <d v="1899-12-30T04:08:30"/>
    <d v="1899-12-30T02:10:16"/>
    <n v="65"/>
    <n v="0.47710000000000002"/>
  </r>
  <r>
    <s v="Del_Roma Rastogi (1008619)"/>
    <x v="102"/>
    <d v="1899-12-30T08:31:02"/>
    <d v="1899-12-30T05:35:38"/>
    <d v="1899-12-30T00:53:47"/>
    <n v="66"/>
    <n v="0.61919999999999997"/>
  </r>
  <r>
    <s v="Del_Roohi Haider (1008620)"/>
    <x v="103"/>
    <d v="1899-12-30T08:00:11"/>
    <d v="1899-12-30T04:52:11"/>
    <d v="1899-12-30T01:09:24"/>
    <n v="67"/>
    <n v="0.55310000000000004"/>
  </r>
  <r>
    <s v="Del_Sajid Naqvi (1008621)"/>
    <x v="104"/>
    <d v="1899-12-30T08:15:48"/>
    <d v="1899-12-30T05:00:37"/>
    <d v="1899-12-30T01:08:40"/>
    <n v="68"/>
    <n v="0.56200000000000006"/>
  </r>
  <r>
    <s v="Del_Salim (1008622)"/>
    <x v="105"/>
    <d v="1899-12-30T08:15:56"/>
    <d v="1899-12-30T04:37:42"/>
    <d v="1899-12-30T01:59:29"/>
    <n v="69"/>
    <n v="0.48780000000000001"/>
  </r>
  <r>
    <s v="Del_Sanjay Hire (1008623)"/>
    <x v="106"/>
    <d v="1899-12-30T08:15:52"/>
    <d v="1899-12-30T05:00:14"/>
    <d v="1899-12-30T01:09:43"/>
    <n v="70"/>
    <n v="0.55410000000000004"/>
  </r>
  <r>
    <s v="Del_Sanjiv Subherwal (1008624)"/>
    <x v="107"/>
    <d v="1899-12-30T08:02:17"/>
    <d v="1899-12-30T05:06:07"/>
    <d v="1899-12-30T01:10:15"/>
    <n v="71"/>
    <n v="0.58650000000000002"/>
  </r>
  <r>
    <s v="Del_Sanju Ramdas (1008625)"/>
    <x v="108"/>
    <d v="1899-12-30T08:15:58"/>
    <d v="1899-12-30T05:19:44"/>
    <d v="1899-12-30T01:13:56"/>
    <n v="72"/>
    <n v="0.58169999999999999"/>
  </r>
  <r>
    <s v="Del_Santosh Kumar (1008626)"/>
    <x v="109"/>
    <d v="1899-12-30T08:00:32"/>
    <d v="1899-12-30T05:03:10"/>
    <d v="1899-12-30T01:09:48"/>
    <n v="73"/>
    <n v="0.5907"/>
  </r>
  <r>
    <s v="Del_Santosh Kumar (1008627)"/>
    <x v="109"/>
    <d v="1899-12-30T08:17:04"/>
    <d v="1899-12-30T05:09:57"/>
    <d v="1899-12-30T01:10:58"/>
    <n v="74"/>
    <n v="0.58640000000000003"/>
  </r>
  <r>
    <s v="Del_Santosh Kumar (1008628)"/>
    <x v="109"/>
    <d v="1899-12-30T08:02:59"/>
    <d v="1899-12-30T04:44:19"/>
    <d v="1899-12-30T01:12:01"/>
    <n v="75"/>
    <n v="0.54649999999999999"/>
  </r>
  <r>
    <s v="Del_Sapna Sharma (1008629)"/>
    <x v="110"/>
    <d v="1899-12-30T08:04:14"/>
    <d v="1899-12-30T04:33:29"/>
    <d v="1899-12-30T01:32:37"/>
    <n v="76"/>
    <n v="0.53239999999999998"/>
  </r>
  <r>
    <s v="Del_Saroj Parita (1008630)"/>
    <x v="111"/>
    <d v="1899-12-30T08:01:59"/>
    <d v="1899-12-30T04:31:42"/>
    <d v="1899-12-30T01:45:37"/>
    <n v="77"/>
    <n v="0.47020000000000001"/>
  </r>
  <r>
    <s v="Del_Shailaja Kamal (1008631)"/>
    <x v="112"/>
    <d v="1899-12-30T08:09:14"/>
    <d v="1899-12-30T04:51:46"/>
    <d v="1899-12-30T01:08:46"/>
    <n v="78"/>
    <n v="0.54630000000000001"/>
  </r>
  <r>
    <s v="Del_Shailendra Barge (1008632)"/>
    <x v="113"/>
    <d v="1899-12-30T08:17:38"/>
    <d v="1899-12-30T03:26:09"/>
    <d v="1899-12-30T03:43:06"/>
    <n v="79"/>
    <n v="0.38819999999999999"/>
  </r>
  <r>
    <s v="Del_Shankar Attendant (1008633)"/>
    <x v="114"/>
    <d v="1899-12-30T07:57:56"/>
    <d v="1899-12-30T03:27:15"/>
    <d v="1899-12-30T03:15:05"/>
    <n v="80"/>
    <n v="0.40279999999999999"/>
  </r>
  <r>
    <s v="Del_Shashikant Tiwari (1008634)"/>
    <x v="115"/>
    <d v="1899-12-30T08:14:55"/>
    <d v="1899-12-30T05:19:10"/>
    <d v="1899-12-30T01:09:59"/>
    <n v="81"/>
    <n v="0.54349999999999998"/>
  </r>
  <r>
    <s v="Del_Sheeba Joseph (1008635)"/>
    <x v="116"/>
    <d v="1899-12-30T08:30:57"/>
    <d v="1899-12-30T03:41:07"/>
    <d v="1899-12-30T00:55:39"/>
    <n v="82"/>
    <n v="0.28370000000000001"/>
  </r>
  <r>
    <s v="Del_Sheena Joseph (1008636)"/>
    <x v="117"/>
    <d v="1899-12-30T08:49:34"/>
    <d v="1899-12-30T05:10:26"/>
    <d v="1899-12-30T01:41:30"/>
    <n v="83"/>
    <n v="0.56200000000000006"/>
  </r>
  <r>
    <s v="Del_Shephali Jain (1008637)"/>
    <x v="118"/>
    <d v="1899-12-30T08:25:43"/>
    <d v="1899-12-30T03:41:29"/>
    <d v="1899-12-30T03:23:49"/>
    <n v="84"/>
    <n v="0.40329999999999999"/>
  </r>
  <r>
    <s v="Del_Shivji Prasad (1008638)"/>
    <x v="119"/>
    <d v="1899-12-30T08:11:40"/>
    <d v="1899-12-30T04:12:39"/>
    <d v="1899-12-30T02:17:48"/>
    <n v="85"/>
    <n v="0.438"/>
  </r>
  <r>
    <s v="Del_Shubhanjali Joshi (1008639)"/>
    <x v="120"/>
    <d v="1899-12-30T08:17:17"/>
    <d v="1899-12-30T04:54:52"/>
    <d v="1899-12-30T01:19:32"/>
    <n v="86"/>
    <n v="0.55579999999999996"/>
  </r>
  <r>
    <s v="Del_Shyamal Malakar (1008640)"/>
    <x v="121"/>
    <d v="1899-12-30T08:15:36"/>
    <d v="1899-12-30T02:53:35"/>
    <d v="1899-12-30T04:35:37"/>
    <n v="87"/>
    <n v="0.32600000000000001"/>
  </r>
  <r>
    <s v="Del_Sneh Khan (1008641)"/>
    <x v="122"/>
    <d v="1899-12-30T08:09:15"/>
    <d v="1899-12-30T05:06:25"/>
    <d v="1899-12-30T01:09:51"/>
    <n v="88"/>
    <n v="0.57399999999999995"/>
  </r>
  <r>
    <s v="Del_Sonaram Munda (1008642)"/>
    <x v="123"/>
    <d v="1899-12-30T08:00:41"/>
    <d v="1899-12-30T04:11:10"/>
    <d v="1899-12-30T01:57:15"/>
    <n v="89"/>
    <n v="0.4536"/>
  </r>
  <r>
    <s v="Del_Sudama Kumar (1008643)"/>
    <x v="124"/>
    <d v="1899-12-30T08:09:47"/>
    <d v="1899-12-30T02:38:49"/>
    <d v="1899-12-30T04:36:20"/>
    <n v="90"/>
    <n v="0.2969"/>
  </r>
  <r>
    <s v="Del_Sudhir Kumar (1008644)"/>
    <x v="125"/>
    <d v="1899-12-30T08:00:18"/>
    <d v="1899-12-30T04:35:36"/>
    <d v="1899-12-30T01:14:24"/>
    <n v="91"/>
    <n v="0.55730000000000002"/>
  </r>
  <r>
    <s v="Del_Sunil Kumar (1008645)"/>
    <x v="126"/>
    <d v="1899-12-30T08:03:26"/>
    <d v="1899-12-30T02:58:37"/>
    <d v="1899-12-30T03:56:57"/>
    <n v="92"/>
    <n v="0.33279999999999998"/>
  </r>
  <r>
    <s v="Del_Sunil Kumar (1008646)"/>
    <x v="126"/>
    <d v="1899-12-30T08:05:06"/>
    <d v="1899-12-30T04:05:03"/>
    <d v="1899-12-30T02:16:51"/>
    <n v="93"/>
    <n v="0.4723"/>
  </r>
  <r>
    <s v="Del_Sunita Chawla (1008647)"/>
    <x v="127"/>
    <d v="1899-12-30T08:05:25"/>
    <d v="1899-12-30T04:31:57"/>
    <d v="1899-12-30T02:06:43"/>
    <n v="94"/>
    <n v="0.5111"/>
  </r>
  <r>
    <s v="Del_Sunita Madnani (1008648)"/>
    <x v="128"/>
    <d v="1899-12-30T08:14:02"/>
    <d v="1899-12-30T05:19:12"/>
    <d v="1899-12-30T01:08:15"/>
    <n v="95"/>
    <n v="0.58889999999999998"/>
  </r>
  <r>
    <s v="Del_Surendra Kumar (1008649)"/>
    <x v="129"/>
    <d v="1899-12-30T07:29:10"/>
    <d v="1899-12-30T02:54:25"/>
    <d v="1899-12-30T03:46:52"/>
    <n v="96"/>
    <n v="0.34289999999999998"/>
  </r>
  <r>
    <s v="Del_Surendranath Thakur (1008650)"/>
    <x v="130"/>
    <d v="1899-12-30T08:33:53"/>
    <d v="1899-12-30T04:36:50"/>
    <d v="1899-12-30T02:17:05"/>
    <n v="97"/>
    <n v="0.4975"/>
  </r>
  <r>
    <s v="Del_Sushma Khandelwal (1008651)"/>
    <x v="131"/>
    <d v="1899-12-30T08:15:15"/>
    <d v="1899-12-30T04:50:07"/>
    <d v="1899-12-30T01:10:21"/>
    <n v="98"/>
    <n v="0.52429999999999999"/>
  </r>
  <r>
    <s v="Del_Swarnlata Borse (1008652)"/>
    <x v="132"/>
    <d v="1899-12-30T08:19:05"/>
    <d v="1899-12-30T02:59:39"/>
    <d v="1899-12-30T04:32:37"/>
    <n v="99"/>
    <n v="0.31069999999999998"/>
  </r>
  <r>
    <s v="Del_Syed Naved (1008653)"/>
    <x v="133"/>
    <d v="1899-12-30T08:13:39"/>
    <d v="1899-12-30T05:24:05"/>
    <d v="1899-12-30T01:14:44"/>
    <n v="100"/>
    <n v="0.58460000000000001"/>
  </r>
  <r>
    <s v="Del_Syed Saqib (1008654)"/>
    <x v="134"/>
    <d v="1899-12-30T08:24:48"/>
    <d v="1899-12-30T02:52:08"/>
    <d v="1899-12-30T05:03:34"/>
    <n v="101"/>
    <n v="0.31690000000000002"/>
  </r>
  <r>
    <s v="Del_Syed Sohail (1008655)"/>
    <x v="135"/>
    <d v="1899-12-30T08:17:53"/>
    <d v="1899-12-30T04:51:52"/>
    <d v="1899-12-30T01:12:04"/>
    <n v="102"/>
    <n v="0.56379999999999997"/>
  </r>
  <r>
    <s v="Del_System Operator (1008656)"/>
    <x v="136"/>
    <d v="1899-12-30T08:30:54"/>
    <d v="1899-12-30T05:15:36"/>
    <d v="1899-12-30T00:56:05"/>
    <n v="103"/>
    <n v="0.54779999999999995"/>
  </r>
  <r>
    <s v="Del_Tahira Qureshi (1008657)"/>
    <x v="137"/>
    <d v="1899-12-30T08:46:13"/>
    <d v="1899-12-30T03:36:51"/>
    <d v="1899-12-30T04:02:30"/>
    <n v="104"/>
    <n v="0.37969999999999998"/>
  </r>
  <r>
    <s v="Del_Tapas Chakraborty (1008658)"/>
    <x v="138"/>
    <d v="1899-12-30T08:14:56"/>
    <d v="1899-12-30T05:15:14"/>
    <d v="1899-12-30T01:12:11"/>
    <n v="105"/>
    <n v="0.56530000000000002"/>
  </r>
  <r>
    <s v="Del_Tariq Akhlaq (1008659)"/>
    <x v="139"/>
    <d v="1899-12-30T04:59:55"/>
    <d v="1899-12-30T03:08:41"/>
    <d v="1899-12-30T00:15:03"/>
    <n v="106"/>
    <n v="0.60260000000000002"/>
  </r>
  <r>
    <s v="Del_Tasneem Khan (1008660)"/>
    <x v="140"/>
    <d v="1899-12-30T08:33:55"/>
    <d v="1899-12-30T04:38:49"/>
    <d v="1899-12-30T02:16:51"/>
    <n v="107"/>
    <n v="0.498099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rowGrandTotals="0" colGrandTotals="0" itemPrintTitles="1" createdVersion="5" indent="0" outline="1" outlineData="1" multipleFieldFilters="0" chartFormat="4">
  <location ref="A4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4" showAll="0"/>
    <pivotField numFmtId="164" showAll="0"/>
    <pivotField numFmtId="164" showAll="0"/>
    <pivotField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Total Number of working Hours by Emp" fld="2" baseField="1" baseItem="15" numFmtId="164"/>
  </dataFields>
  <formats count="2">
    <format dxfId="1">
      <pivotArea dataOnly="0" labelOnly="1" outline="0" axis="axisValues" fieldPosition="0"/>
    </format>
    <format dxfId="0">
      <pivotArea field="1" type="button" dataOnly="0" labelOnly="1" outline="0" axis="axisRow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" showRowHeaders="1" showColHeaders="1" showRowStripes="0" showColStripes="0" showLastColumn="1"/>
  <filters count="1">
    <filter fld="1" type="count" evalOrder="-1" id="37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rowGrandTotals="0" colGrandTotals="0" itemPrintTitles="1" createdVersion="5" indent="0" outline="1" outlineData="1" multipleFieldFilters="0" chartFormat="6">
  <location ref="D4:E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4" showAll="0"/>
    <pivotField numFmtId="164" showAll="0"/>
    <pivotField numFmtId="164" showAll="0"/>
    <pivotField showAll="0"/>
    <pivotField dataField="1"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1" baseItem="0" numFmtId="10"/>
  </dataFields>
  <formats count="3">
    <format dxfId="4">
      <pivotArea dataOnly="0" labelOnly="1" outline="0" axis="axisValues" fieldPosition="0"/>
    </format>
    <format dxfId="3">
      <pivotArea field="1" type="button" dataOnly="0" labelOnly="1" outline="0" axis="axisRow" fieldPosition="0"/>
    </format>
    <format dxfId="2">
      <pivotArea outline="0" fieldPosition="0">
        <references count="1">
          <reference field="4294967294" count="1">
            <x v="0"/>
          </reference>
        </references>
      </pivotArea>
    </format>
  </formats>
  <chartFormats count="6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Medium2" showRowHeaders="1" showColHeaders="1" showRowStripes="0" showColStripes="0" showLastColumn="1"/>
  <filters count="1">
    <filter fld="1" type="count" evalOrder="-1" id="30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50"/>
  <sheetViews>
    <sheetView workbookViewId="0">
      <selection activeCell="A2" sqref="A2"/>
    </sheetView>
  </sheetViews>
  <sheetFormatPr defaultRowHeight="15" x14ac:dyDescent="0.25"/>
  <cols>
    <col min="1" max="1" width="34.85546875" bestFit="1" customWidth="1"/>
    <col min="2" max="2" width="8.140625" bestFit="1" customWidth="1"/>
    <col min="3" max="3" width="13.140625" bestFit="1" customWidth="1"/>
    <col min="4" max="4" width="9.42578125" bestFit="1" customWidth="1"/>
    <col min="5" max="5" width="8.140625" bestFit="1" customWidth="1"/>
    <col min="6" max="6" width="8.42578125" bestFit="1" customWidth="1"/>
    <col min="7" max="7" width="15.7109375" bestFit="1" customWidth="1"/>
    <col min="8" max="8" width="11.28515625" bestFit="1" customWidth="1"/>
    <col min="9" max="9" width="16.7109375" bestFit="1" customWidth="1"/>
  </cols>
  <sheetData>
    <row r="1" spans="1:9" x14ac:dyDescent="0.25">
      <c r="A1" s="3" t="s">
        <v>158</v>
      </c>
      <c r="B1" s="3" t="s">
        <v>150</v>
      </c>
      <c r="C1" s="3" t="s">
        <v>151</v>
      </c>
      <c r="D1" s="3" t="s">
        <v>152</v>
      </c>
      <c r="E1" s="3" t="s">
        <v>153</v>
      </c>
      <c r="F1" s="3" t="s">
        <v>154</v>
      </c>
      <c r="G1" s="3" t="s">
        <v>155</v>
      </c>
      <c r="H1" s="3" t="s">
        <v>156</v>
      </c>
      <c r="I1" s="3" t="s">
        <v>157</v>
      </c>
    </row>
    <row r="2" spans="1:9" x14ac:dyDescent="0.25">
      <c r="A2" t="s">
        <v>1</v>
      </c>
      <c r="B2" s="1">
        <v>2.5567129629629634E-2</v>
      </c>
      <c r="C2" s="1">
        <v>2.1111111111111108E-2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4.7708333333333332E-2</v>
      </c>
    </row>
    <row r="3" spans="1:9" x14ac:dyDescent="0.25">
      <c r="A3" t="s">
        <v>2</v>
      </c>
      <c r="B3" s="1">
        <v>2.7731481481481478E-2</v>
      </c>
      <c r="C3" s="1">
        <v>2.0775462962962964E-2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4.8599537037037038E-2</v>
      </c>
    </row>
    <row r="4" spans="1:9" x14ac:dyDescent="0.25">
      <c r="A4" t="s">
        <v>3</v>
      </c>
      <c r="B4" s="1">
        <v>2.7650462962962963E-2</v>
      </c>
      <c r="C4" s="1">
        <v>2.0706018518518519E-2</v>
      </c>
      <c r="D4" s="1">
        <v>0</v>
      </c>
      <c r="E4" s="1">
        <v>0</v>
      </c>
      <c r="F4" s="1">
        <v>0</v>
      </c>
      <c r="G4" s="1">
        <v>2.8819444444444444E-3</v>
      </c>
      <c r="H4" s="1">
        <v>0</v>
      </c>
      <c r="I4" s="1">
        <v>5.1319444444444445E-2</v>
      </c>
    </row>
    <row r="5" spans="1:9" x14ac:dyDescent="0.25">
      <c r="A5" t="s">
        <v>4</v>
      </c>
      <c r="B5" s="1">
        <v>2.7280092592592592E-2</v>
      </c>
      <c r="C5" s="1">
        <v>1.5509259259259257E-2</v>
      </c>
      <c r="D5" s="1">
        <v>4.9282407407407407E-2</v>
      </c>
      <c r="E5" s="1">
        <v>0</v>
      </c>
      <c r="F5" s="1">
        <v>0</v>
      </c>
      <c r="G5" s="1">
        <v>0</v>
      </c>
      <c r="H5" s="1">
        <v>0</v>
      </c>
      <c r="I5" s="1">
        <v>9.6550925925925915E-2</v>
      </c>
    </row>
    <row r="6" spans="1:9" x14ac:dyDescent="0.25">
      <c r="A6" t="s">
        <v>5</v>
      </c>
      <c r="B6" s="1">
        <v>0</v>
      </c>
      <c r="C6" s="1">
        <v>2.0648148148148148E-2</v>
      </c>
      <c r="D6" s="1">
        <v>0</v>
      </c>
      <c r="E6" s="1">
        <v>0</v>
      </c>
      <c r="F6" s="1">
        <v>2.0497685185185185E-2</v>
      </c>
      <c r="G6" s="1">
        <v>0</v>
      </c>
      <c r="H6" s="1">
        <v>8.7037037037037038E-2</v>
      </c>
      <c r="I6" s="1">
        <v>0.12844907407407408</v>
      </c>
    </row>
    <row r="7" spans="1:9" x14ac:dyDescent="0.25">
      <c r="A7" t="s">
        <v>6</v>
      </c>
      <c r="B7" s="1">
        <v>0</v>
      </c>
      <c r="C7" s="1">
        <v>1.037037037037037E-2</v>
      </c>
      <c r="D7" s="1">
        <v>0</v>
      </c>
      <c r="E7" s="1">
        <v>0</v>
      </c>
      <c r="F7" s="1">
        <v>0</v>
      </c>
      <c r="G7" s="1">
        <v>7.083333333333333E-3</v>
      </c>
      <c r="H7" s="1">
        <v>0</v>
      </c>
      <c r="I7" s="1">
        <v>1.8831018518518518E-2</v>
      </c>
    </row>
    <row r="8" spans="1:9" x14ac:dyDescent="0.25">
      <c r="A8" t="s">
        <v>7</v>
      </c>
      <c r="B8" s="1">
        <v>2.7766203703703706E-2</v>
      </c>
      <c r="C8" s="1">
        <v>2.0810185185185185E-2</v>
      </c>
      <c r="D8" s="1">
        <v>0</v>
      </c>
      <c r="E8" s="1">
        <v>0</v>
      </c>
      <c r="F8" s="1">
        <v>0</v>
      </c>
      <c r="G8" s="1">
        <v>0</v>
      </c>
      <c r="H8" s="1">
        <v>6.3599537037037038E-2</v>
      </c>
      <c r="I8" s="1">
        <v>0.11229166666666668</v>
      </c>
    </row>
    <row r="9" spans="1:9" x14ac:dyDescent="0.25">
      <c r="A9" t="s">
        <v>8</v>
      </c>
      <c r="B9" s="1">
        <v>2.8043981481481479E-2</v>
      </c>
      <c r="C9" s="1">
        <v>2.0439814814814817E-2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5.0810185185185187E-2</v>
      </c>
    </row>
    <row r="10" spans="1:9" x14ac:dyDescent="0.25">
      <c r="A10" t="s">
        <v>9</v>
      </c>
      <c r="B10" s="1">
        <v>2.7719907407407405E-2</v>
      </c>
      <c r="C10" s="1">
        <v>1.7233796296296296E-2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4.628472222222222E-2</v>
      </c>
    </row>
    <row r="11" spans="1:9" x14ac:dyDescent="0.25">
      <c r="A11" t="s">
        <v>10</v>
      </c>
      <c r="B11" s="1">
        <v>2.7673611111111111E-2</v>
      </c>
      <c r="C11" s="1">
        <v>2.0821759259259259E-2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4.8576388888888884E-2</v>
      </c>
    </row>
    <row r="12" spans="1:9" x14ac:dyDescent="0.25">
      <c r="A12" t="s">
        <v>11</v>
      </c>
      <c r="B12" s="1">
        <v>2.7557870370370368E-2</v>
      </c>
      <c r="C12" s="1">
        <v>2.0428240740740743E-2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4.809027777777778E-2</v>
      </c>
    </row>
    <row r="13" spans="1:9" x14ac:dyDescent="0.25">
      <c r="A13" t="s">
        <v>12</v>
      </c>
      <c r="B13" s="1">
        <v>2.7141203703703706E-2</v>
      </c>
      <c r="C13" s="1">
        <v>2.0821759259259259E-2</v>
      </c>
      <c r="D13" s="1">
        <v>0</v>
      </c>
      <c r="E13" s="1">
        <v>4.5185185185185189E-2</v>
      </c>
      <c r="F13" s="1">
        <v>2.1111111111111108E-2</v>
      </c>
      <c r="G13" s="1">
        <v>8.7037037037037031E-3</v>
      </c>
      <c r="H13" s="1">
        <v>0</v>
      </c>
      <c r="I13" s="1">
        <v>0.12590277777777778</v>
      </c>
    </row>
    <row r="14" spans="1:9" x14ac:dyDescent="0.25">
      <c r="A14" t="s">
        <v>13</v>
      </c>
      <c r="B14" s="1">
        <v>2.7152777777777779E-2</v>
      </c>
      <c r="C14" s="1">
        <v>1.7650462962962962E-2</v>
      </c>
      <c r="D14" s="1">
        <v>0</v>
      </c>
      <c r="E14" s="1">
        <v>4.2731481481481481E-2</v>
      </c>
      <c r="F14" s="1">
        <v>0</v>
      </c>
      <c r="G14" s="1">
        <v>0</v>
      </c>
      <c r="H14" s="1">
        <v>0</v>
      </c>
      <c r="I14" s="1">
        <v>8.7974537037037046E-2</v>
      </c>
    </row>
    <row r="15" spans="1:9" x14ac:dyDescent="0.25">
      <c r="A15" t="s">
        <v>14</v>
      </c>
      <c r="B15" s="1">
        <v>2.9861111111111113E-2</v>
      </c>
      <c r="C15" s="1">
        <v>1.8900462962962963E-2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4.9004629629629627E-2</v>
      </c>
    </row>
    <row r="16" spans="1:9" x14ac:dyDescent="0.25">
      <c r="A16" t="s">
        <v>15</v>
      </c>
      <c r="B16" s="1">
        <v>2.6122685185185183E-2</v>
      </c>
      <c r="C16" s="1">
        <v>2.0706018518518519E-2</v>
      </c>
      <c r="D16" s="1">
        <v>0</v>
      </c>
      <c r="E16" s="1">
        <v>0</v>
      </c>
      <c r="F16" s="1">
        <v>0</v>
      </c>
      <c r="G16" s="1">
        <v>6.053240740740741E-3</v>
      </c>
      <c r="H16" s="1">
        <v>0</v>
      </c>
      <c r="I16" s="1">
        <v>5.3460648148148153E-2</v>
      </c>
    </row>
    <row r="17" spans="1:9" x14ac:dyDescent="0.25">
      <c r="A17" t="s">
        <v>16</v>
      </c>
      <c r="B17" s="1">
        <v>2.9236111111111112E-2</v>
      </c>
      <c r="C17" s="1">
        <v>1.1064814814814814E-2</v>
      </c>
      <c r="D17" s="1">
        <v>5.9386574074074071E-2</v>
      </c>
      <c r="E17" s="1">
        <v>0</v>
      </c>
      <c r="F17" s="1">
        <v>0</v>
      </c>
      <c r="G17" s="1">
        <v>0</v>
      </c>
      <c r="H17" s="1">
        <v>0</v>
      </c>
      <c r="I17" s="1">
        <v>0.10023148148148148</v>
      </c>
    </row>
    <row r="18" spans="1:9" x14ac:dyDescent="0.25">
      <c r="A18" t="s">
        <v>17</v>
      </c>
      <c r="B18" s="1">
        <v>2.7199074074074073E-2</v>
      </c>
      <c r="C18" s="1">
        <v>9.0624999999999994E-3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3.9224537037037037E-2</v>
      </c>
    </row>
    <row r="19" spans="1:9" x14ac:dyDescent="0.25">
      <c r="A19" t="s">
        <v>18</v>
      </c>
      <c r="B19" s="1">
        <v>2.7743055555555559E-2</v>
      </c>
      <c r="C19" s="1">
        <v>2.0810185185185185E-2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4.8692129629629627E-2</v>
      </c>
    </row>
    <row r="20" spans="1:9" x14ac:dyDescent="0.25">
      <c r="A20" t="s">
        <v>19</v>
      </c>
      <c r="B20" s="1">
        <v>2.7210648148148147E-2</v>
      </c>
      <c r="C20" s="1">
        <v>1.8993055555555558E-2</v>
      </c>
      <c r="D20" s="1">
        <v>0</v>
      </c>
      <c r="E20" s="1">
        <v>4.1643518518518517E-2</v>
      </c>
      <c r="F20" s="1">
        <v>2.1608796296296296E-2</v>
      </c>
      <c r="G20" s="1">
        <v>0</v>
      </c>
      <c r="H20" s="1">
        <v>0</v>
      </c>
      <c r="I20" s="1">
        <v>0.11122685185185184</v>
      </c>
    </row>
    <row r="21" spans="1:9" x14ac:dyDescent="0.25">
      <c r="A21" t="s">
        <v>20</v>
      </c>
      <c r="B21" s="1">
        <v>2.8009259259259262E-2</v>
      </c>
      <c r="C21" s="1">
        <v>2.1284722222222222E-2</v>
      </c>
      <c r="D21" s="1">
        <v>0</v>
      </c>
      <c r="E21" s="1">
        <v>0</v>
      </c>
      <c r="F21" s="1">
        <v>0</v>
      </c>
      <c r="G21" s="1">
        <v>1.0416666666666667E-3</v>
      </c>
      <c r="H21" s="1">
        <v>0</v>
      </c>
      <c r="I21" s="1">
        <v>5.1736111111111115E-2</v>
      </c>
    </row>
    <row r="22" spans="1:9" x14ac:dyDescent="0.25">
      <c r="A22" t="s">
        <v>21</v>
      </c>
      <c r="B22" s="1">
        <v>2.7418981481481485E-2</v>
      </c>
      <c r="C22" s="1">
        <v>1.8784722222222223E-2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4.6516203703703705E-2</v>
      </c>
    </row>
    <row r="23" spans="1:9" x14ac:dyDescent="0.25">
      <c r="A23" t="s">
        <v>22</v>
      </c>
      <c r="B23" s="1">
        <v>2.7511574074074074E-2</v>
      </c>
      <c r="C23" s="1">
        <v>2.0185185185185184E-2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4.8460648148148149E-2</v>
      </c>
    </row>
    <row r="24" spans="1:9" x14ac:dyDescent="0.25">
      <c r="A24" t="s">
        <v>23</v>
      </c>
      <c r="B24" s="1">
        <v>2.7777777777777776E-2</v>
      </c>
      <c r="C24" s="1">
        <v>2.0868055555555556E-2</v>
      </c>
      <c r="D24" s="1">
        <v>4.1157407407407406E-2</v>
      </c>
      <c r="E24" s="1">
        <v>0</v>
      </c>
      <c r="F24" s="1">
        <v>0</v>
      </c>
      <c r="G24" s="1">
        <v>0</v>
      </c>
      <c r="H24" s="1">
        <v>0</v>
      </c>
      <c r="I24" s="1">
        <v>9.0486111111111114E-2</v>
      </c>
    </row>
    <row r="25" spans="1:9" x14ac:dyDescent="0.25">
      <c r="A25" t="s">
        <v>24</v>
      </c>
      <c r="B25" s="1">
        <v>2.7662037037037041E-2</v>
      </c>
      <c r="C25" s="1">
        <v>2.0937499999999998E-2</v>
      </c>
      <c r="D25" s="1">
        <v>0</v>
      </c>
      <c r="E25" s="1">
        <v>4.2418981481481481E-2</v>
      </c>
      <c r="F25" s="1">
        <v>0</v>
      </c>
      <c r="G25" s="1">
        <v>0</v>
      </c>
      <c r="H25" s="1">
        <v>0</v>
      </c>
      <c r="I25" s="1">
        <v>9.116898148148149E-2</v>
      </c>
    </row>
    <row r="26" spans="1:9" x14ac:dyDescent="0.25">
      <c r="A26" t="s">
        <v>25</v>
      </c>
      <c r="B26" s="1">
        <v>2.7407407407407408E-2</v>
      </c>
      <c r="C26" s="1">
        <v>1.8310185185185186E-2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5.0625000000000003E-2</v>
      </c>
    </row>
    <row r="27" spans="1:9" x14ac:dyDescent="0.25">
      <c r="A27" t="s">
        <v>26</v>
      </c>
      <c r="B27" s="1">
        <v>0</v>
      </c>
      <c r="C27" s="1">
        <v>2.0011574074074074E-2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2.1180555555555553E-2</v>
      </c>
    </row>
    <row r="28" spans="1:9" x14ac:dyDescent="0.25">
      <c r="A28" t="s">
        <v>27</v>
      </c>
      <c r="B28" s="1">
        <v>2.7708333333333331E-2</v>
      </c>
      <c r="C28" s="1">
        <v>2.0798611111111111E-2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4.9768518518518517E-2</v>
      </c>
    </row>
    <row r="29" spans="1:9" x14ac:dyDescent="0.25">
      <c r="A29" t="s">
        <v>28</v>
      </c>
      <c r="B29" s="1">
        <v>2.7893518518518515E-2</v>
      </c>
      <c r="C29" s="1">
        <v>2.0474537037037038E-2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4.8645833333333333E-2</v>
      </c>
    </row>
    <row r="30" spans="1:9" x14ac:dyDescent="0.25">
      <c r="A30" t="s">
        <v>29</v>
      </c>
      <c r="B30" s="1">
        <v>2.8425925925925924E-2</v>
      </c>
      <c r="C30" s="1">
        <v>2.1875000000000002E-2</v>
      </c>
      <c r="D30" s="1">
        <v>0</v>
      </c>
      <c r="E30" s="1">
        <v>4.1655092592592598E-2</v>
      </c>
      <c r="F30" s="1">
        <v>2.2210648148148149E-2</v>
      </c>
      <c r="G30" s="1">
        <v>0</v>
      </c>
      <c r="H30" s="1">
        <v>0</v>
      </c>
      <c r="I30" s="1">
        <v>0.11449074074074074</v>
      </c>
    </row>
    <row r="31" spans="1:9" x14ac:dyDescent="0.25">
      <c r="A31" t="s">
        <v>30</v>
      </c>
      <c r="B31" s="1">
        <v>0</v>
      </c>
      <c r="C31" s="1">
        <v>2.0833333333333332E-2</v>
      </c>
      <c r="D31" s="1">
        <v>0</v>
      </c>
      <c r="E31" s="1">
        <v>0</v>
      </c>
      <c r="F31" s="1">
        <v>1.7997685185185186E-2</v>
      </c>
      <c r="G31" s="1">
        <v>5.8912037037037032E-3</v>
      </c>
      <c r="H31" s="1">
        <v>0</v>
      </c>
      <c r="I31" s="1">
        <v>5.5787037037037031E-2</v>
      </c>
    </row>
    <row r="32" spans="1:9" x14ac:dyDescent="0.25">
      <c r="A32" t="s">
        <v>31</v>
      </c>
      <c r="B32" s="1">
        <v>2.7662037037037041E-2</v>
      </c>
      <c r="C32" s="1">
        <v>2.0324074074074074E-2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4.809027777777778E-2</v>
      </c>
    </row>
    <row r="33" spans="1:9" x14ac:dyDescent="0.25">
      <c r="A33" t="s">
        <v>32</v>
      </c>
      <c r="B33" s="1">
        <v>2.7303240740740743E-2</v>
      </c>
      <c r="C33" s="1">
        <v>1.9710648148148147E-2</v>
      </c>
      <c r="D33" s="1">
        <v>0</v>
      </c>
      <c r="E33" s="1">
        <v>4.2442129629629628E-2</v>
      </c>
      <c r="F33" s="1">
        <v>0</v>
      </c>
      <c r="G33" s="1">
        <v>0</v>
      </c>
      <c r="H33" s="1">
        <v>0</v>
      </c>
      <c r="I33" s="1">
        <v>8.9745370370370378E-2</v>
      </c>
    </row>
    <row r="34" spans="1:9" x14ac:dyDescent="0.25">
      <c r="A34" t="s">
        <v>33</v>
      </c>
      <c r="B34" s="1">
        <v>2.9236111111111112E-2</v>
      </c>
      <c r="C34" s="1">
        <v>1.8530092592592595E-2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4.7951388888888891E-2</v>
      </c>
    </row>
    <row r="35" spans="1:9" x14ac:dyDescent="0.25">
      <c r="A35" t="s">
        <v>34</v>
      </c>
      <c r="B35" s="1">
        <v>2.71875E-2</v>
      </c>
      <c r="C35" s="1">
        <v>2.0196759259259258E-2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4.8564814814814818E-2</v>
      </c>
    </row>
    <row r="36" spans="1:9" x14ac:dyDescent="0.25">
      <c r="A36" t="s">
        <v>35</v>
      </c>
      <c r="B36" s="1">
        <v>0</v>
      </c>
      <c r="C36" s="1">
        <v>1.7546296296296296E-2</v>
      </c>
      <c r="D36" s="1">
        <v>4.1608796296296297E-2</v>
      </c>
      <c r="E36" s="1">
        <v>0</v>
      </c>
      <c r="F36" s="1">
        <v>0</v>
      </c>
      <c r="G36" s="1">
        <v>0</v>
      </c>
      <c r="H36" s="1">
        <v>0</v>
      </c>
      <c r="I36" s="1">
        <v>6.1215277777777778E-2</v>
      </c>
    </row>
    <row r="37" spans="1:9" x14ac:dyDescent="0.25">
      <c r="A37" t="s">
        <v>36</v>
      </c>
      <c r="B37" s="1">
        <v>2.7430555555555555E-2</v>
      </c>
      <c r="C37" s="1">
        <v>2.0312500000000001E-2</v>
      </c>
      <c r="D37" s="1">
        <v>0</v>
      </c>
      <c r="E37" s="1">
        <v>4.0081018518518523E-2</v>
      </c>
      <c r="F37" s="1">
        <v>1.9664351851851853E-2</v>
      </c>
      <c r="G37" s="1">
        <v>0</v>
      </c>
      <c r="H37" s="1">
        <v>0</v>
      </c>
      <c r="I37" s="1">
        <v>0.10777777777777779</v>
      </c>
    </row>
    <row r="38" spans="1:9" x14ac:dyDescent="0.25">
      <c r="A38" t="s">
        <v>37</v>
      </c>
      <c r="B38" s="1">
        <v>2.763888888888889E-2</v>
      </c>
      <c r="C38" s="1">
        <v>2.0555555555555556E-2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4.8333333333333332E-2</v>
      </c>
    </row>
    <row r="39" spans="1:9" x14ac:dyDescent="0.25">
      <c r="A39" t="s">
        <v>38</v>
      </c>
      <c r="B39" s="1">
        <v>2.7731481481481478E-2</v>
      </c>
      <c r="C39" s="1">
        <v>2.0706018518518519E-2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4.912037037037037E-2</v>
      </c>
    </row>
    <row r="40" spans="1:9" x14ac:dyDescent="0.25">
      <c r="A40" t="s">
        <v>39</v>
      </c>
      <c r="B40" s="1">
        <v>2.7604166666666666E-2</v>
      </c>
      <c r="C40" s="1">
        <v>2.0682870370370372E-2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4.8923611111111105E-2</v>
      </c>
    </row>
    <row r="41" spans="1:9" x14ac:dyDescent="0.25">
      <c r="A41" t="s">
        <v>40</v>
      </c>
      <c r="B41" s="1">
        <v>2.9120370370370366E-2</v>
      </c>
      <c r="C41" s="1">
        <v>1.9537037037037037E-2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4.8749999999999995E-2</v>
      </c>
    </row>
    <row r="42" spans="1:9" x14ac:dyDescent="0.25">
      <c r="A42" t="s">
        <v>41</v>
      </c>
      <c r="B42" s="1">
        <v>2.6435185185185187E-2</v>
      </c>
      <c r="C42" s="1">
        <v>1.982638888888889E-2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4.6990740740740743E-2</v>
      </c>
    </row>
    <row r="43" spans="1:9" x14ac:dyDescent="0.25">
      <c r="A43" t="s">
        <v>42</v>
      </c>
      <c r="B43" s="1">
        <v>2.2905092592592591E-2</v>
      </c>
      <c r="C43" s="1">
        <v>2.2800925925925929E-2</v>
      </c>
      <c r="D43" s="1">
        <v>0</v>
      </c>
      <c r="E43" s="1">
        <v>0</v>
      </c>
      <c r="F43" s="1">
        <v>5.4143518518518514E-2</v>
      </c>
      <c r="G43" s="1">
        <v>0</v>
      </c>
      <c r="H43" s="1">
        <v>0</v>
      </c>
      <c r="I43" s="1">
        <v>0.10062500000000001</v>
      </c>
    </row>
    <row r="44" spans="1:9" x14ac:dyDescent="0.25">
      <c r="A44" t="s">
        <v>43</v>
      </c>
      <c r="B44" s="1">
        <v>0</v>
      </c>
      <c r="C44" s="1">
        <v>1.03125E-2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1.0416666666666666E-2</v>
      </c>
    </row>
    <row r="45" spans="1:9" x14ac:dyDescent="0.25">
      <c r="A45" t="s">
        <v>44</v>
      </c>
      <c r="B45" s="1">
        <v>2.5138888888888891E-2</v>
      </c>
      <c r="C45" s="1">
        <v>2.0810185185185185E-2</v>
      </c>
      <c r="D45" s="1">
        <v>0</v>
      </c>
      <c r="E45" s="1">
        <v>0</v>
      </c>
      <c r="F45" s="1">
        <v>0</v>
      </c>
      <c r="G45" s="1">
        <v>1.7824074074074072E-3</v>
      </c>
      <c r="H45" s="1">
        <v>0</v>
      </c>
      <c r="I45" s="1">
        <v>4.8437500000000001E-2</v>
      </c>
    </row>
    <row r="46" spans="1:9" x14ac:dyDescent="0.25">
      <c r="A46" t="s">
        <v>45</v>
      </c>
      <c r="B46" s="1">
        <v>1.5590277777777778E-2</v>
      </c>
      <c r="C46" s="1">
        <v>2.2638888888888889E-2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3.9108796296296301E-2</v>
      </c>
    </row>
    <row r="47" spans="1:9" x14ac:dyDescent="0.25">
      <c r="A47" t="s">
        <v>46</v>
      </c>
      <c r="B47" s="1">
        <v>2.7685185185185188E-2</v>
      </c>
      <c r="C47" s="1">
        <v>2.0752314814814814E-2</v>
      </c>
      <c r="D47" s="1">
        <v>4.1793981481481481E-2</v>
      </c>
      <c r="E47" s="1">
        <v>0</v>
      </c>
      <c r="F47" s="1">
        <v>0</v>
      </c>
      <c r="G47" s="1">
        <v>0</v>
      </c>
      <c r="H47" s="1">
        <v>0</v>
      </c>
      <c r="I47" s="1">
        <v>9.0555555555555556E-2</v>
      </c>
    </row>
    <row r="48" spans="1:9" x14ac:dyDescent="0.25">
      <c r="A48" t="s">
        <v>47</v>
      </c>
      <c r="B48" s="1">
        <v>2.7303240740740743E-2</v>
      </c>
      <c r="C48" s="1">
        <v>2.0752314814814814E-2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4.8240740740740744E-2</v>
      </c>
    </row>
    <row r="49" spans="1:9" x14ac:dyDescent="0.25">
      <c r="A49" t="s">
        <v>48</v>
      </c>
      <c r="B49" s="1">
        <v>2.7743055555555559E-2</v>
      </c>
      <c r="C49" s="1">
        <v>2.0590277777777777E-2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4.8437500000000001E-2</v>
      </c>
    </row>
    <row r="50" spans="1:9" x14ac:dyDescent="0.25">
      <c r="A50" t="s">
        <v>49</v>
      </c>
      <c r="B50" s="1">
        <v>2.7777777777777776E-2</v>
      </c>
      <c r="C50" s="1">
        <v>2.0844907407407406E-2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4.8738425925925921E-2</v>
      </c>
    </row>
    <row r="51" spans="1:9" x14ac:dyDescent="0.25">
      <c r="A51" t="s">
        <v>50</v>
      </c>
      <c r="B51" s="1">
        <v>0</v>
      </c>
      <c r="C51" s="1">
        <v>1.0555555555555554E-2</v>
      </c>
      <c r="D51" s="1">
        <v>0</v>
      </c>
      <c r="E51" s="1">
        <v>0</v>
      </c>
      <c r="F51" s="1">
        <v>0</v>
      </c>
      <c r="G51" s="1">
        <v>1.8634259259259261E-3</v>
      </c>
      <c r="H51" s="1">
        <v>0</v>
      </c>
      <c r="I51" s="1">
        <v>1.2615740740740742E-2</v>
      </c>
    </row>
    <row r="52" spans="1:9" x14ac:dyDescent="0.25">
      <c r="A52" t="s">
        <v>51</v>
      </c>
      <c r="B52" s="1">
        <v>1.4490740740740742E-2</v>
      </c>
      <c r="C52" s="1">
        <v>2.0879629629629626E-2</v>
      </c>
      <c r="D52" s="1">
        <v>0</v>
      </c>
      <c r="E52" s="1">
        <v>0</v>
      </c>
      <c r="F52" s="1">
        <v>0</v>
      </c>
      <c r="G52" s="1">
        <v>1.6284722222222221E-2</v>
      </c>
      <c r="H52" s="1">
        <v>0</v>
      </c>
      <c r="I52" s="1">
        <v>5.1898148148148145E-2</v>
      </c>
    </row>
    <row r="53" spans="1:9" x14ac:dyDescent="0.25">
      <c r="A53" t="s">
        <v>52</v>
      </c>
      <c r="B53" s="1">
        <v>2.7766203703703706E-2</v>
      </c>
      <c r="C53" s="1">
        <v>2.0798611111111111E-2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4.8657407407407406E-2</v>
      </c>
    </row>
    <row r="54" spans="1:9" x14ac:dyDescent="0.25">
      <c r="A54" t="s">
        <v>53</v>
      </c>
      <c r="B54" s="1">
        <v>2.7754629629629629E-2</v>
      </c>
      <c r="C54" s="1">
        <v>2.0810185185185185E-2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4.8715277777777781E-2</v>
      </c>
    </row>
    <row r="55" spans="1:9" x14ac:dyDescent="0.25">
      <c r="A55" t="s">
        <v>54</v>
      </c>
      <c r="B55" s="1">
        <v>3.0902777777777779E-2</v>
      </c>
      <c r="C55" s="1">
        <v>1.7511574074074072E-2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4.9062500000000002E-2</v>
      </c>
    </row>
    <row r="56" spans="1:9" x14ac:dyDescent="0.25">
      <c r="A56" t="s">
        <v>55</v>
      </c>
      <c r="B56" s="1">
        <v>2.7569444444444448E-2</v>
      </c>
      <c r="C56" s="1">
        <v>2.0902777777777781E-2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4.9143518518518524E-2</v>
      </c>
    </row>
    <row r="57" spans="1:9" x14ac:dyDescent="0.25">
      <c r="A57" t="s">
        <v>56</v>
      </c>
      <c r="B57" s="1">
        <v>2.7708333333333331E-2</v>
      </c>
      <c r="C57" s="1">
        <v>2.0752314814814814E-2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4.853009259259259E-2</v>
      </c>
    </row>
    <row r="58" spans="1:9" x14ac:dyDescent="0.25">
      <c r="A58" t="s">
        <v>57</v>
      </c>
      <c r="B58" s="1">
        <v>2.7731481481481478E-2</v>
      </c>
      <c r="C58" s="1">
        <v>2.0752314814814814E-2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5.2766203703703697E-2</v>
      </c>
    </row>
    <row r="59" spans="1:9" x14ac:dyDescent="0.25">
      <c r="A59" t="s">
        <v>58</v>
      </c>
      <c r="B59" s="1">
        <v>2.7719907407407405E-2</v>
      </c>
      <c r="C59" s="1">
        <v>2.0671296296296295E-2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4.9756944444444444E-2</v>
      </c>
    </row>
    <row r="60" spans="1:9" x14ac:dyDescent="0.25">
      <c r="A60" t="s">
        <v>59</v>
      </c>
      <c r="B60" s="1">
        <v>2.8622685185185185E-2</v>
      </c>
      <c r="C60" s="1">
        <v>2.0844907407407406E-2</v>
      </c>
      <c r="D60" s="1">
        <v>0</v>
      </c>
      <c r="E60" s="1">
        <v>4.6226851851851852E-2</v>
      </c>
      <c r="F60" s="1">
        <v>5.3229166666666661E-2</v>
      </c>
      <c r="G60" s="1">
        <v>0</v>
      </c>
      <c r="H60" s="1">
        <v>0</v>
      </c>
      <c r="I60" s="1">
        <v>0.14913194444444444</v>
      </c>
    </row>
    <row r="61" spans="1:9" x14ac:dyDescent="0.25">
      <c r="A61" t="s">
        <v>60</v>
      </c>
      <c r="B61" s="1">
        <v>2.7743055555555559E-2</v>
      </c>
      <c r="C61" s="1">
        <v>2.0509259259259258E-2</v>
      </c>
      <c r="D61" s="1">
        <v>0</v>
      </c>
      <c r="E61" s="1">
        <v>3.8090277777777778E-2</v>
      </c>
      <c r="F61" s="1">
        <v>0</v>
      </c>
      <c r="G61" s="1">
        <v>5.4282407407407404E-3</v>
      </c>
      <c r="H61" s="1">
        <v>0</v>
      </c>
      <c r="I61" s="1">
        <v>9.194444444444444E-2</v>
      </c>
    </row>
    <row r="62" spans="1:9" x14ac:dyDescent="0.25">
      <c r="A62" t="s">
        <v>61</v>
      </c>
      <c r="B62" s="1">
        <v>0</v>
      </c>
      <c r="C62" s="1">
        <v>1.0277777777777778E-2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1.082175925925926E-2</v>
      </c>
    </row>
    <row r="63" spans="1:9" x14ac:dyDescent="0.25">
      <c r="A63" t="s">
        <v>62</v>
      </c>
      <c r="B63" s="1">
        <v>2.7777777777777776E-2</v>
      </c>
      <c r="C63" s="1">
        <v>2.0821759259259259E-2</v>
      </c>
      <c r="D63" s="1">
        <v>4.372685185185185E-2</v>
      </c>
      <c r="E63" s="1">
        <v>0</v>
      </c>
      <c r="F63" s="1">
        <v>0</v>
      </c>
      <c r="G63" s="1">
        <v>0</v>
      </c>
      <c r="H63" s="1">
        <v>0</v>
      </c>
      <c r="I63" s="1">
        <v>9.2442129629629624E-2</v>
      </c>
    </row>
    <row r="64" spans="1:9" x14ac:dyDescent="0.25">
      <c r="A64" t="s">
        <v>63</v>
      </c>
      <c r="B64" s="1">
        <v>2.7662037037037041E-2</v>
      </c>
      <c r="C64" s="1">
        <v>2.0902777777777781E-2</v>
      </c>
      <c r="D64" s="1">
        <v>0</v>
      </c>
      <c r="E64" s="1">
        <v>3.9861111111111111E-2</v>
      </c>
      <c r="F64" s="1">
        <v>2.1041666666666667E-2</v>
      </c>
      <c r="G64" s="1">
        <v>0</v>
      </c>
      <c r="H64" s="1">
        <v>0</v>
      </c>
      <c r="I64" s="1">
        <v>0.11005787037037036</v>
      </c>
    </row>
    <row r="65" spans="1:9" x14ac:dyDescent="0.25">
      <c r="A65" t="s">
        <v>64</v>
      </c>
      <c r="B65" s="1">
        <v>1.5428240740740741E-2</v>
      </c>
      <c r="C65" s="1">
        <v>2.0787037037037038E-2</v>
      </c>
      <c r="D65" s="1">
        <v>0</v>
      </c>
      <c r="E65" s="1">
        <v>4.148148148148148E-2</v>
      </c>
      <c r="F65" s="1">
        <v>2.0891203703703703E-2</v>
      </c>
      <c r="G65" s="1">
        <v>0</v>
      </c>
      <c r="H65" s="1">
        <v>0</v>
      </c>
      <c r="I65" s="1">
        <v>0.10043981481481483</v>
      </c>
    </row>
    <row r="66" spans="1:9" x14ac:dyDescent="0.25">
      <c r="A66" t="s">
        <v>65</v>
      </c>
      <c r="B66" s="1">
        <v>0</v>
      </c>
      <c r="C66" s="1">
        <v>1.0324074074074074E-2</v>
      </c>
      <c r="D66" s="1">
        <v>0</v>
      </c>
      <c r="E66" s="1">
        <v>0</v>
      </c>
      <c r="F66" s="1">
        <v>0</v>
      </c>
      <c r="G66" s="1">
        <v>1.0081018518518519E-2</v>
      </c>
      <c r="H66" s="1">
        <v>0</v>
      </c>
      <c r="I66" s="1">
        <v>2.0532407407407405E-2</v>
      </c>
    </row>
    <row r="67" spans="1:9" x14ac:dyDescent="0.25">
      <c r="A67" t="s">
        <v>66</v>
      </c>
      <c r="B67" s="1">
        <v>2.763888888888889E-2</v>
      </c>
      <c r="C67" s="1">
        <v>1.4699074074074074E-2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5.1423611111111107E-2</v>
      </c>
    </row>
    <row r="68" spans="1:9" x14ac:dyDescent="0.25">
      <c r="A68" t="s">
        <v>67</v>
      </c>
      <c r="B68" s="1">
        <v>2.9155092592592594E-2</v>
      </c>
      <c r="C68" s="1">
        <v>1.7349537037037038E-2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4.7534722222222221E-2</v>
      </c>
    </row>
    <row r="69" spans="1:9" x14ac:dyDescent="0.25">
      <c r="A69" t="s">
        <v>68</v>
      </c>
      <c r="B69" s="1">
        <v>2.7650462962962963E-2</v>
      </c>
      <c r="C69" s="1">
        <v>1.9976851851851853E-2</v>
      </c>
      <c r="D69" s="1">
        <v>4.5740740740740742E-2</v>
      </c>
      <c r="E69" s="1">
        <v>0</v>
      </c>
      <c r="F69" s="1">
        <v>0</v>
      </c>
      <c r="G69" s="1">
        <v>0</v>
      </c>
      <c r="H69" s="1">
        <v>0</v>
      </c>
      <c r="I69" s="1">
        <v>9.3958333333333324E-2</v>
      </c>
    </row>
    <row r="70" spans="1:9" x14ac:dyDescent="0.25">
      <c r="A70" t="s">
        <v>69</v>
      </c>
      <c r="B70" s="1">
        <v>2.7766203703703706E-2</v>
      </c>
      <c r="C70" s="1">
        <v>2.0775462962962964E-2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4.8645833333333333E-2</v>
      </c>
    </row>
    <row r="71" spans="1:9" x14ac:dyDescent="0.25">
      <c r="A71" t="s">
        <v>70</v>
      </c>
      <c r="B71" s="1">
        <v>2.7824074074074074E-2</v>
      </c>
      <c r="C71" s="1">
        <v>2.0613425925925927E-2</v>
      </c>
      <c r="D71" s="1">
        <v>0</v>
      </c>
      <c r="E71" s="1">
        <v>0</v>
      </c>
      <c r="F71" s="1">
        <v>1.9108796296296294E-2</v>
      </c>
      <c r="G71" s="1">
        <v>0</v>
      </c>
      <c r="H71" s="1">
        <v>0</v>
      </c>
      <c r="I71" s="1">
        <v>6.7650462962962968E-2</v>
      </c>
    </row>
    <row r="72" spans="1:9" x14ac:dyDescent="0.25">
      <c r="A72" t="s">
        <v>71</v>
      </c>
      <c r="B72" s="1">
        <v>2.7708333333333331E-2</v>
      </c>
      <c r="C72" s="1">
        <v>2.071759259259259E-2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4.853009259259259E-2</v>
      </c>
    </row>
    <row r="73" spans="1:9" x14ac:dyDescent="0.25">
      <c r="A73" t="s">
        <v>72</v>
      </c>
      <c r="B73" s="1">
        <v>2.763888888888889E-2</v>
      </c>
      <c r="C73" s="1">
        <v>2.0763888888888887E-2</v>
      </c>
      <c r="D73" s="1">
        <v>0</v>
      </c>
      <c r="E73" s="1">
        <v>0</v>
      </c>
      <c r="F73" s="1">
        <v>1.7858796296296296E-2</v>
      </c>
      <c r="G73" s="1">
        <v>0</v>
      </c>
      <c r="H73" s="1">
        <v>0</v>
      </c>
      <c r="I73" s="1">
        <v>6.6701388888888893E-2</v>
      </c>
    </row>
    <row r="74" spans="1:9" x14ac:dyDescent="0.25">
      <c r="A74" t="s">
        <v>73</v>
      </c>
      <c r="B74" s="1">
        <v>2.7430555555555555E-2</v>
      </c>
      <c r="C74" s="1">
        <v>2.0046296296296295E-2</v>
      </c>
      <c r="D74" s="1">
        <v>4.2488425925925923E-2</v>
      </c>
      <c r="E74" s="1">
        <v>0</v>
      </c>
      <c r="F74" s="1">
        <v>0</v>
      </c>
      <c r="G74" s="1">
        <v>0</v>
      </c>
      <c r="H74" s="1">
        <v>0</v>
      </c>
      <c r="I74" s="1">
        <v>9.1597222222222219E-2</v>
      </c>
    </row>
    <row r="75" spans="1:9" x14ac:dyDescent="0.25">
      <c r="A75" t="s">
        <v>74</v>
      </c>
      <c r="B75" s="1">
        <v>2.7731481481481478E-2</v>
      </c>
      <c r="C75" s="1">
        <v>2.0833333333333332E-2</v>
      </c>
      <c r="D75" s="1">
        <v>0</v>
      </c>
      <c r="E75" s="1">
        <v>0</v>
      </c>
      <c r="F75" s="1">
        <v>5.2962962962962962E-2</v>
      </c>
      <c r="G75" s="1">
        <v>0</v>
      </c>
      <c r="H75" s="1">
        <v>0</v>
      </c>
      <c r="I75" s="1">
        <v>0.10168981481481482</v>
      </c>
    </row>
    <row r="76" spans="1:9" x14ac:dyDescent="0.25">
      <c r="A76" t="s">
        <v>75</v>
      </c>
      <c r="B76" s="1">
        <v>2.7766203703703706E-2</v>
      </c>
      <c r="C76" s="1">
        <v>2.0810185185185185E-2</v>
      </c>
      <c r="D76" s="1">
        <v>0</v>
      </c>
      <c r="E76" s="1">
        <v>0</v>
      </c>
      <c r="F76" s="1">
        <v>0</v>
      </c>
      <c r="G76" s="1">
        <v>0</v>
      </c>
      <c r="H76" s="1">
        <v>3.1458333333333331E-2</v>
      </c>
      <c r="I76" s="1">
        <v>8.0162037037037046E-2</v>
      </c>
    </row>
    <row r="77" spans="1:9" x14ac:dyDescent="0.25">
      <c r="A77" t="s">
        <v>76</v>
      </c>
      <c r="B77" s="1">
        <v>2.8657407407407406E-2</v>
      </c>
      <c r="C77" s="1">
        <v>2.0300925925925927E-2</v>
      </c>
      <c r="D77" s="1">
        <v>1.8900462962962963E-2</v>
      </c>
      <c r="E77" s="1">
        <v>0</v>
      </c>
      <c r="F77" s="1">
        <v>0</v>
      </c>
      <c r="G77" s="1">
        <v>0</v>
      </c>
      <c r="H77" s="1">
        <v>0</v>
      </c>
      <c r="I77" s="1">
        <v>6.8541666666666667E-2</v>
      </c>
    </row>
    <row r="78" spans="1:9" x14ac:dyDescent="0.25">
      <c r="A78" t="s">
        <v>77</v>
      </c>
      <c r="B78" s="1">
        <v>2.7118055555555552E-2</v>
      </c>
      <c r="C78" s="1">
        <v>1.042824074074074E-2</v>
      </c>
      <c r="D78" s="1">
        <v>0</v>
      </c>
      <c r="E78" s="1">
        <v>0</v>
      </c>
      <c r="F78" s="1">
        <v>0.10876157407407407</v>
      </c>
      <c r="G78" s="1">
        <v>0</v>
      </c>
      <c r="H78" s="1">
        <v>2.8229166666666666E-2</v>
      </c>
      <c r="I78" s="1">
        <v>0.17460648148148147</v>
      </c>
    </row>
    <row r="79" spans="1:9" x14ac:dyDescent="0.25">
      <c r="A79" t="s">
        <v>78</v>
      </c>
      <c r="B79" s="1">
        <v>2.7766203703703706E-2</v>
      </c>
      <c r="C79" s="1">
        <v>1.1157407407407408E-2</v>
      </c>
      <c r="D79" s="1">
        <v>4.5833333333333337E-2</v>
      </c>
      <c r="E79" s="1">
        <v>0</v>
      </c>
      <c r="F79" s="1">
        <v>9.6423611111111127E-2</v>
      </c>
      <c r="G79" s="1">
        <v>0</v>
      </c>
      <c r="H79" s="1">
        <v>0</v>
      </c>
      <c r="I79" s="1">
        <v>0.18131944444444445</v>
      </c>
    </row>
    <row r="80" spans="1:9" x14ac:dyDescent="0.25">
      <c r="A80" t="s">
        <v>79</v>
      </c>
      <c r="B80" s="1">
        <v>2.7662037037037041E-2</v>
      </c>
      <c r="C80" s="1">
        <v>2.1006944444444443E-2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4.8900462962962965E-2</v>
      </c>
    </row>
    <row r="81" spans="1:9" x14ac:dyDescent="0.25">
      <c r="A81" t="s">
        <v>80</v>
      </c>
      <c r="B81" s="1">
        <v>2.8773148148148145E-2</v>
      </c>
      <c r="C81" s="1">
        <v>1.8749999999999999E-2</v>
      </c>
      <c r="D81" s="1">
        <v>6.1655092592592588E-2</v>
      </c>
      <c r="E81" s="1">
        <v>0</v>
      </c>
      <c r="F81" s="1">
        <v>0</v>
      </c>
      <c r="G81" s="1">
        <v>0</v>
      </c>
      <c r="H81" s="1">
        <v>0</v>
      </c>
      <c r="I81" s="1">
        <v>0.10935185185185185</v>
      </c>
    </row>
    <row r="82" spans="1:9" x14ac:dyDescent="0.25">
      <c r="A82" t="s">
        <v>81</v>
      </c>
      <c r="B82" s="1">
        <v>2.5578703703703704E-2</v>
      </c>
      <c r="C82" s="1">
        <v>1.0775462962962964E-2</v>
      </c>
      <c r="D82" s="1">
        <v>0</v>
      </c>
      <c r="E82" s="1">
        <v>0</v>
      </c>
      <c r="F82" s="1">
        <v>0.10246527777777777</v>
      </c>
      <c r="G82" s="1">
        <v>0</v>
      </c>
      <c r="H82" s="1">
        <v>0</v>
      </c>
      <c r="I82" s="1">
        <v>0.13890046296296296</v>
      </c>
    </row>
    <row r="83" spans="1:9" x14ac:dyDescent="0.25">
      <c r="A83" t="s">
        <v>82</v>
      </c>
      <c r="B83" s="1">
        <v>3.0127314814814815E-2</v>
      </c>
      <c r="C83" s="1">
        <v>1.7384259259259262E-2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4.7592592592592596E-2</v>
      </c>
    </row>
    <row r="84" spans="1:9" x14ac:dyDescent="0.25">
      <c r="A84" t="s">
        <v>83</v>
      </c>
      <c r="B84" s="1">
        <v>0</v>
      </c>
      <c r="C84" s="1">
        <v>2.0833333333333332E-2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2.1064814814814814E-2</v>
      </c>
    </row>
    <row r="85" spans="1:9" x14ac:dyDescent="0.25">
      <c r="A85" t="s">
        <v>84</v>
      </c>
      <c r="B85" s="1">
        <v>2.7245370370370368E-2</v>
      </c>
      <c r="C85" s="1">
        <v>1.9710648148148147E-2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4.7731481481481486E-2</v>
      </c>
    </row>
    <row r="86" spans="1:9" x14ac:dyDescent="0.25">
      <c r="A86" t="s">
        <v>85</v>
      </c>
      <c r="B86" s="1">
        <v>2.7731481481481478E-2</v>
      </c>
      <c r="C86" s="1">
        <v>1.7407407407407406E-2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4.7500000000000007E-2</v>
      </c>
    </row>
    <row r="87" spans="1:9" x14ac:dyDescent="0.25">
      <c r="A87" t="s">
        <v>86</v>
      </c>
      <c r="B87" s="1">
        <v>2.7546296296296294E-2</v>
      </c>
      <c r="C87" s="1">
        <v>2.1030092592592597E-2</v>
      </c>
      <c r="D87" s="1">
        <v>0</v>
      </c>
      <c r="E87" s="1">
        <v>0</v>
      </c>
      <c r="F87" s="1">
        <v>0</v>
      </c>
      <c r="G87" s="1">
        <v>0</v>
      </c>
      <c r="H87" s="1">
        <v>1.8541666666666668E-2</v>
      </c>
      <c r="I87" s="1">
        <v>6.7430555555555563E-2</v>
      </c>
    </row>
    <row r="88" spans="1:9" x14ac:dyDescent="0.25">
      <c r="A88" t="s">
        <v>87</v>
      </c>
      <c r="B88" s="1">
        <v>2.7835648148148151E-2</v>
      </c>
      <c r="C88" s="1">
        <v>2.071759259259259E-2</v>
      </c>
      <c r="D88" s="1">
        <v>0</v>
      </c>
      <c r="E88" s="1">
        <v>0</v>
      </c>
      <c r="F88" s="1">
        <v>0</v>
      </c>
      <c r="G88" s="1">
        <v>0</v>
      </c>
      <c r="H88" s="1">
        <v>6.1805555555555563E-3</v>
      </c>
      <c r="I88" s="1">
        <v>5.4953703703703706E-2</v>
      </c>
    </row>
    <row r="89" spans="1:9" x14ac:dyDescent="0.25">
      <c r="A89" t="s">
        <v>88</v>
      </c>
      <c r="B89" s="1">
        <v>2.8506944444444442E-2</v>
      </c>
      <c r="C89" s="1">
        <v>1.2858796296296297E-2</v>
      </c>
      <c r="D89" s="1">
        <v>0</v>
      </c>
      <c r="E89" s="1">
        <v>3.5474537037037041E-2</v>
      </c>
      <c r="F89" s="1">
        <v>0</v>
      </c>
      <c r="G89" s="1">
        <v>0</v>
      </c>
      <c r="H89" s="1">
        <v>2.7800925925925923E-2</v>
      </c>
      <c r="I89" s="1">
        <v>0.10712962962962963</v>
      </c>
    </row>
    <row r="90" spans="1:9" x14ac:dyDescent="0.25">
      <c r="A90" t="s">
        <v>89</v>
      </c>
      <c r="B90" s="1">
        <v>2.7627314814814813E-2</v>
      </c>
      <c r="C90" s="1">
        <v>1.0532407407407407E-2</v>
      </c>
      <c r="D90" s="1">
        <v>0</v>
      </c>
      <c r="E90" s="1">
        <v>0.13302083333333334</v>
      </c>
      <c r="F90" s="1">
        <v>0.10975694444444445</v>
      </c>
      <c r="G90" s="1">
        <v>0</v>
      </c>
      <c r="H90" s="1">
        <v>1.5486111111111112E-2</v>
      </c>
      <c r="I90" s="1">
        <v>0.29744212962962963</v>
      </c>
    </row>
    <row r="91" spans="1:9" x14ac:dyDescent="0.25">
      <c r="A91" t="s">
        <v>90</v>
      </c>
      <c r="B91" s="1">
        <v>2.75E-2</v>
      </c>
      <c r="C91" s="1">
        <v>2.0798611111111111E-2</v>
      </c>
      <c r="D91" s="1">
        <v>0</v>
      </c>
      <c r="E91" s="1">
        <v>0</v>
      </c>
      <c r="F91" s="1">
        <v>0</v>
      </c>
      <c r="G91" s="1">
        <v>0</v>
      </c>
      <c r="H91" s="1">
        <v>1.0069444444444444E-3</v>
      </c>
      <c r="I91" s="1">
        <v>5.004629629629629E-2</v>
      </c>
    </row>
    <row r="92" spans="1:9" x14ac:dyDescent="0.25">
      <c r="A92" t="s">
        <v>91</v>
      </c>
      <c r="B92" s="1">
        <v>2.7766203703703706E-2</v>
      </c>
      <c r="C92" s="1">
        <v>2.0821759259259259E-2</v>
      </c>
      <c r="D92" s="1">
        <v>0</v>
      </c>
      <c r="E92" s="1">
        <v>3.6342592592592593E-2</v>
      </c>
      <c r="F92" s="1">
        <v>0</v>
      </c>
      <c r="G92" s="1">
        <v>0</v>
      </c>
      <c r="H92" s="1">
        <v>0</v>
      </c>
      <c r="I92" s="1">
        <v>8.790509259259259E-2</v>
      </c>
    </row>
    <row r="93" spans="1:9" x14ac:dyDescent="0.25">
      <c r="A93" t="s">
        <v>92</v>
      </c>
      <c r="B93" s="1">
        <v>0</v>
      </c>
      <c r="C93" s="1">
        <v>1.045138888888889E-2</v>
      </c>
      <c r="D93" s="1">
        <v>0</v>
      </c>
      <c r="E93" s="1">
        <v>0</v>
      </c>
      <c r="F93" s="1">
        <v>2.3148148148148147E-5</v>
      </c>
      <c r="G93" s="1">
        <v>5.9259259259259256E-3</v>
      </c>
      <c r="H93" s="1">
        <v>0</v>
      </c>
      <c r="I93" s="1">
        <v>1.6979166666666667E-2</v>
      </c>
    </row>
    <row r="94" spans="1:9" x14ac:dyDescent="0.25">
      <c r="A94" t="s">
        <v>93</v>
      </c>
      <c r="B94" s="1">
        <v>2.7615740740740743E-2</v>
      </c>
      <c r="C94" s="1">
        <v>2.0532407407407405E-2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4.8240740740740744E-2</v>
      </c>
    </row>
    <row r="95" spans="1:9" x14ac:dyDescent="0.25">
      <c r="A95" t="s">
        <v>94</v>
      </c>
      <c r="B95" s="1">
        <v>2.7835648148148151E-2</v>
      </c>
      <c r="C95" s="1">
        <v>1.9074074074074073E-2</v>
      </c>
      <c r="D95" s="1">
        <v>0</v>
      </c>
      <c r="E95" s="1">
        <v>0</v>
      </c>
      <c r="F95" s="1">
        <v>0.10924768518518518</v>
      </c>
      <c r="G95" s="1">
        <v>0</v>
      </c>
      <c r="H95" s="1">
        <v>0.18746527777777777</v>
      </c>
      <c r="I95" s="1">
        <v>0.34385416666666663</v>
      </c>
    </row>
    <row r="96" spans="1:9" x14ac:dyDescent="0.25">
      <c r="A96" t="s">
        <v>95</v>
      </c>
      <c r="B96" s="1">
        <v>2.7280092592592592E-2</v>
      </c>
      <c r="C96" s="1">
        <v>1.1979166666666666E-2</v>
      </c>
      <c r="D96" s="1">
        <v>0</v>
      </c>
      <c r="E96" s="1">
        <v>0</v>
      </c>
      <c r="F96" s="1">
        <v>0.1095486111111111</v>
      </c>
      <c r="G96" s="1">
        <v>0</v>
      </c>
      <c r="H96" s="1">
        <v>0.12869212962962964</v>
      </c>
      <c r="I96" s="1">
        <v>0.27759259259259261</v>
      </c>
    </row>
    <row r="97" spans="1:9" x14ac:dyDescent="0.25">
      <c r="A97" t="s">
        <v>96</v>
      </c>
      <c r="B97" s="1">
        <v>2.7465277777777772E-2</v>
      </c>
      <c r="C97" s="1">
        <v>2.028935185185185E-2</v>
      </c>
      <c r="D97" s="1">
        <v>0</v>
      </c>
      <c r="E97" s="1">
        <v>0</v>
      </c>
      <c r="F97" s="1">
        <v>0</v>
      </c>
      <c r="G97" s="1">
        <v>2.685185185185185E-3</v>
      </c>
      <c r="H97" s="1">
        <v>0</v>
      </c>
      <c r="I97" s="1">
        <v>5.122685185185185E-2</v>
      </c>
    </row>
    <row r="98" spans="1:9" x14ac:dyDescent="0.25">
      <c r="A98" t="s">
        <v>97</v>
      </c>
      <c r="B98" s="1">
        <v>2.7685185185185188E-2</v>
      </c>
      <c r="C98" s="1">
        <v>1.0567129629629629E-2</v>
      </c>
      <c r="D98" s="1">
        <v>0</v>
      </c>
      <c r="E98" s="1">
        <v>0</v>
      </c>
      <c r="F98" s="1">
        <v>0</v>
      </c>
      <c r="G98" s="1">
        <v>0</v>
      </c>
      <c r="H98" s="1">
        <v>0.20133101851851851</v>
      </c>
      <c r="I98" s="1">
        <v>0.23973379629629629</v>
      </c>
    </row>
    <row r="99" spans="1:9" x14ac:dyDescent="0.25">
      <c r="A99" t="s">
        <v>98</v>
      </c>
      <c r="B99" s="1">
        <v>2.5833333333333333E-2</v>
      </c>
      <c r="C99" s="1">
        <v>1.9583333333333331E-2</v>
      </c>
      <c r="D99" s="1">
        <v>0</v>
      </c>
      <c r="E99" s="1">
        <v>4.0162037037037038E-2</v>
      </c>
      <c r="F99" s="1">
        <v>0</v>
      </c>
      <c r="G99" s="1">
        <v>0</v>
      </c>
      <c r="H99" s="1">
        <v>0</v>
      </c>
      <c r="I99" s="1">
        <v>8.6782407407407405E-2</v>
      </c>
    </row>
    <row r="100" spans="1:9" x14ac:dyDescent="0.25">
      <c r="A100" t="s">
        <v>99</v>
      </c>
      <c r="B100" s="1">
        <v>2.7569444444444448E-2</v>
      </c>
      <c r="C100" s="1">
        <v>2.0671296296296295E-2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4.9467592592592591E-2</v>
      </c>
    </row>
    <row r="101" spans="1:9" x14ac:dyDescent="0.25">
      <c r="A101" t="s">
        <v>100</v>
      </c>
      <c r="B101" s="1">
        <v>2.6678240740740738E-2</v>
      </c>
      <c r="C101" s="1">
        <v>2.1493055555555557E-2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4.8240740740740744E-2</v>
      </c>
    </row>
    <row r="102" spans="1:9" x14ac:dyDescent="0.25">
      <c r="A102" t="s">
        <v>101</v>
      </c>
      <c r="B102" s="1">
        <v>1.4884259259259259E-2</v>
      </c>
      <c r="C102" s="1">
        <v>3.3750000000000002E-2</v>
      </c>
      <c r="D102" s="1">
        <v>0</v>
      </c>
      <c r="E102" s="1">
        <v>3.7187499999999998E-2</v>
      </c>
      <c r="F102" s="1">
        <v>0</v>
      </c>
      <c r="G102" s="1">
        <v>0</v>
      </c>
      <c r="H102" s="1">
        <v>2.1817129629629631E-2</v>
      </c>
      <c r="I102" s="1">
        <v>0.11229166666666668</v>
      </c>
    </row>
    <row r="103" spans="1:9" x14ac:dyDescent="0.25">
      <c r="A103" t="s">
        <v>102</v>
      </c>
      <c r="B103" s="1">
        <v>2.7708333333333331E-2</v>
      </c>
      <c r="C103" s="1">
        <v>2.028935185185185E-2</v>
      </c>
      <c r="D103" s="1">
        <v>0</v>
      </c>
      <c r="E103" s="1">
        <v>0</v>
      </c>
      <c r="F103" s="1">
        <v>0</v>
      </c>
      <c r="G103" s="1">
        <v>0</v>
      </c>
      <c r="H103" s="1">
        <v>2.8518518518518523E-2</v>
      </c>
      <c r="I103" s="1">
        <v>7.6817129629629624E-2</v>
      </c>
    </row>
    <row r="104" spans="1:9" x14ac:dyDescent="0.25">
      <c r="A104" t="s">
        <v>103</v>
      </c>
      <c r="B104" s="1">
        <v>2.6099537037037036E-2</v>
      </c>
      <c r="C104" s="1">
        <v>2.6620370370370374E-2</v>
      </c>
      <c r="D104" s="1">
        <v>0</v>
      </c>
      <c r="E104" s="1">
        <v>0</v>
      </c>
      <c r="F104" s="1">
        <v>0</v>
      </c>
      <c r="G104" s="1">
        <v>0</v>
      </c>
      <c r="H104" s="1">
        <v>1.3854166666666666E-2</v>
      </c>
      <c r="I104" s="1">
        <v>6.732638888888888E-2</v>
      </c>
    </row>
    <row r="105" spans="1:9" x14ac:dyDescent="0.25">
      <c r="A105" t="s">
        <v>104</v>
      </c>
      <c r="B105" s="1">
        <v>2.6446759259259264E-2</v>
      </c>
      <c r="C105" s="1">
        <v>2.0868055555555556E-2</v>
      </c>
      <c r="D105" s="1">
        <v>5.4340277777777779E-2</v>
      </c>
      <c r="E105" s="1">
        <v>0</v>
      </c>
      <c r="F105" s="1">
        <v>0.10902777777777778</v>
      </c>
      <c r="G105" s="1">
        <v>0</v>
      </c>
      <c r="H105" s="1">
        <v>2.488425925925926E-3</v>
      </c>
      <c r="I105" s="1">
        <v>0.21383101851851852</v>
      </c>
    </row>
    <row r="106" spans="1:9" x14ac:dyDescent="0.25">
      <c r="A106" t="s">
        <v>105</v>
      </c>
      <c r="B106" s="1">
        <v>2.9502314814814815E-2</v>
      </c>
      <c r="C106" s="1">
        <v>2.056712962962963E-2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5.092592592592593E-2</v>
      </c>
    </row>
    <row r="107" spans="1:9" x14ac:dyDescent="0.25">
      <c r="A107" t="s">
        <v>106</v>
      </c>
      <c r="B107" s="1">
        <v>2.7754629629629629E-2</v>
      </c>
      <c r="C107" s="1">
        <v>2.045138888888889E-2</v>
      </c>
      <c r="D107" s="1">
        <v>0</v>
      </c>
      <c r="E107" s="1">
        <v>0</v>
      </c>
      <c r="F107" s="1">
        <v>0</v>
      </c>
      <c r="G107" s="1">
        <v>0</v>
      </c>
      <c r="H107" s="1">
        <v>0.29631944444444441</v>
      </c>
      <c r="I107" s="1">
        <v>0.34513888888888888</v>
      </c>
    </row>
    <row r="108" spans="1:9" x14ac:dyDescent="0.25">
      <c r="A108" t="s">
        <v>107</v>
      </c>
      <c r="B108" s="1">
        <v>2.7604166666666666E-2</v>
      </c>
      <c r="C108" s="1">
        <v>1.8530092592592595E-2</v>
      </c>
      <c r="D108" s="1">
        <v>4.4236111111111115E-2</v>
      </c>
      <c r="E108" s="1">
        <v>0</v>
      </c>
      <c r="F108" s="1">
        <v>0</v>
      </c>
      <c r="G108" s="1">
        <v>0</v>
      </c>
      <c r="H108" s="1">
        <v>0</v>
      </c>
      <c r="I108" s="1">
        <v>9.0462962962962967E-2</v>
      </c>
    </row>
    <row r="109" spans="1:9" x14ac:dyDescent="0.25">
      <c r="A109" t="s">
        <v>108</v>
      </c>
      <c r="B109" s="1">
        <v>1.9444444444444445E-2</v>
      </c>
      <c r="C109" s="1">
        <v>1.7673611111111109E-2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3.7349537037037035E-2</v>
      </c>
    </row>
    <row r="110" spans="1:9" x14ac:dyDescent="0.25">
      <c r="A110" t="s">
        <v>109</v>
      </c>
      <c r="B110" s="1">
        <v>2.7199074074074073E-2</v>
      </c>
      <c r="C110" s="1">
        <v>2.0798611111111111E-2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4.8194444444444449E-2</v>
      </c>
    </row>
    <row r="111" spans="1:9" x14ac:dyDescent="0.25">
      <c r="A111" t="s">
        <v>110</v>
      </c>
      <c r="B111" s="1">
        <v>2.8333333333333332E-2</v>
      </c>
      <c r="C111" s="1">
        <v>1.9224537037037037E-2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4.7685185185185185E-2</v>
      </c>
    </row>
    <row r="112" spans="1:9" x14ac:dyDescent="0.25">
      <c r="A112" t="s">
        <v>111</v>
      </c>
      <c r="B112" s="1">
        <v>2.7650462962962963E-2</v>
      </c>
      <c r="C112" s="1">
        <v>2.0347222222222221E-2</v>
      </c>
      <c r="D112" s="1">
        <v>0</v>
      </c>
      <c r="E112" s="1">
        <v>0</v>
      </c>
      <c r="F112" s="1">
        <v>0</v>
      </c>
      <c r="G112" s="1">
        <v>0</v>
      </c>
      <c r="H112" s="1">
        <v>3.3993055555555561E-2</v>
      </c>
      <c r="I112" s="1">
        <v>8.2974537037037041E-2</v>
      </c>
    </row>
    <row r="113" spans="1:9" x14ac:dyDescent="0.25">
      <c r="A113" t="s">
        <v>112</v>
      </c>
      <c r="B113" s="1">
        <v>2.7268518518518515E-2</v>
      </c>
      <c r="C113" s="1">
        <v>2.0648148148148148E-2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4.8414351851851854E-2</v>
      </c>
    </row>
    <row r="114" spans="1:9" x14ac:dyDescent="0.25">
      <c r="A114" t="s">
        <v>113</v>
      </c>
      <c r="B114" s="1">
        <v>2.7870370370370368E-2</v>
      </c>
      <c r="C114" s="1">
        <v>2.0625000000000001E-2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4.8784722222222222E-2</v>
      </c>
    </row>
    <row r="115" spans="1:9" x14ac:dyDescent="0.25">
      <c r="A115" t="s">
        <v>114</v>
      </c>
      <c r="B115" s="1">
        <v>2.7627314814814813E-2</v>
      </c>
      <c r="C115" s="1">
        <v>2.0787037037037038E-2</v>
      </c>
      <c r="D115" s="1">
        <v>0</v>
      </c>
      <c r="E115" s="1">
        <v>0</v>
      </c>
      <c r="F115" s="1">
        <v>0</v>
      </c>
      <c r="G115" s="1">
        <v>2.3148148148148147E-5</v>
      </c>
      <c r="H115" s="1">
        <v>2.8009259259259259E-3</v>
      </c>
      <c r="I115" s="1">
        <v>5.1342592592592586E-2</v>
      </c>
    </row>
    <row r="116" spans="1:9" x14ac:dyDescent="0.25">
      <c r="A116" t="s">
        <v>115</v>
      </c>
      <c r="B116" s="1">
        <v>2.7685185185185188E-2</v>
      </c>
      <c r="C116" s="1">
        <v>2.0532407407407405E-2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4.8472222222222222E-2</v>
      </c>
    </row>
    <row r="117" spans="1:9" x14ac:dyDescent="0.25">
      <c r="A117" t="s">
        <v>116</v>
      </c>
      <c r="B117" s="1">
        <v>2.7789351851851853E-2</v>
      </c>
      <c r="C117" s="1">
        <v>2.1064814814814814E-2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4.9282407407407407E-2</v>
      </c>
    </row>
    <row r="118" spans="1:9" x14ac:dyDescent="0.25">
      <c r="A118" t="s">
        <v>117</v>
      </c>
      <c r="B118" s="1">
        <v>2.900462962962963E-2</v>
      </c>
      <c r="C118" s="1">
        <v>1.954861111111111E-2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5.0011574074074076E-2</v>
      </c>
    </row>
    <row r="119" spans="1:9" x14ac:dyDescent="0.25">
      <c r="A119" t="s">
        <v>118</v>
      </c>
      <c r="B119" s="1">
        <v>2.6921296296296294E-2</v>
      </c>
      <c r="C119" s="1">
        <v>2.0532407407407405E-2</v>
      </c>
      <c r="D119" s="1">
        <v>0</v>
      </c>
      <c r="E119" s="1">
        <v>0</v>
      </c>
      <c r="F119" s="1">
        <v>0</v>
      </c>
      <c r="G119" s="1">
        <v>0</v>
      </c>
      <c r="H119" s="1">
        <v>1.622685185185185E-2</v>
      </c>
      <c r="I119" s="1">
        <v>6.4317129629629641E-2</v>
      </c>
    </row>
    <row r="120" spans="1:9" x14ac:dyDescent="0.25">
      <c r="A120" t="s">
        <v>119</v>
      </c>
      <c r="B120" s="1">
        <v>2.9490740740740744E-2</v>
      </c>
      <c r="C120" s="1">
        <v>1.7430555555555557E-2</v>
      </c>
      <c r="D120" s="1">
        <v>0</v>
      </c>
      <c r="E120" s="1">
        <v>0</v>
      </c>
      <c r="F120" s="1">
        <v>0</v>
      </c>
      <c r="G120" s="1">
        <v>0</v>
      </c>
      <c r="H120" s="1">
        <v>2.2141203703703705E-2</v>
      </c>
      <c r="I120" s="1">
        <v>7.3344907407407414E-2</v>
      </c>
    </row>
    <row r="121" spans="1:9" x14ac:dyDescent="0.25">
      <c r="A121" t="s">
        <v>120</v>
      </c>
      <c r="B121" s="1">
        <v>2.6851851851851849E-2</v>
      </c>
      <c r="C121" s="1">
        <v>2.0196759259259258E-2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4.7754629629629626E-2</v>
      </c>
    </row>
    <row r="122" spans="1:9" x14ac:dyDescent="0.25">
      <c r="A122" t="s">
        <v>121</v>
      </c>
      <c r="B122" s="1">
        <v>2.7546296296296294E-2</v>
      </c>
      <c r="C122" s="1">
        <v>2.0694444444444446E-2</v>
      </c>
      <c r="D122" s="1">
        <v>0</v>
      </c>
      <c r="E122" s="1">
        <v>0</v>
      </c>
      <c r="F122" s="1">
        <v>0.10515046296296297</v>
      </c>
      <c r="G122" s="1">
        <v>0</v>
      </c>
      <c r="H122" s="1">
        <v>0</v>
      </c>
      <c r="I122" s="1">
        <v>0.15493055555555554</v>
      </c>
    </row>
    <row r="123" spans="1:9" x14ac:dyDescent="0.25">
      <c r="A123" t="s">
        <v>122</v>
      </c>
      <c r="B123" s="1">
        <v>2.736111111111111E-2</v>
      </c>
      <c r="C123" s="1">
        <v>2.1331018518518517E-2</v>
      </c>
      <c r="D123" s="1">
        <v>5.8090277777777775E-2</v>
      </c>
      <c r="E123" s="1">
        <v>0</v>
      </c>
      <c r="F123" s="1">
        <v>0</v>
      </c>
      <c r="G123" s="1">
        <v>0</v>
      </c>
      <c r="H123" s="1">
        <v>2.8356481481481483E-2</v>
      </c>
      <c r="I123" s="1">
        <v>0.13547453703703705</v>
      </c>
    </row>
    <row r="124" spans="1:9" x14ac:dyDescent="0.25">
      <c r="A124" t="s">
        <v>123</v>
      </c>
      <c r="B124" s="1">
        <v>2.736111111111111E-2</v>
      </c>
      <c r="C124" s="1">
        <v>2.0474537037037038E-2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4.8599537037037038E-2</v>
      </c>
    </row>
    <row r="125" spans="1:9" x14ac:dyDescent="0.25">
      <c r="A125" t="s">
        <v>124</v>
      </c>
      <c r="B125" s="1">
        <v>2.4594907407407409E-2</v>
      </c>
      <c r="C125" s="1">
        <v>1.1064814814814814E-2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3.8645833333333331E-2</v>
      </c>
    </row>
    <row r="126" spans="1:9" x14ac:dyDescent="0.25">
      <c r="A126" t="s">
        <v>125</v>
      </c>
      <c r="B126" s="1">
        <v>2.8587962962962964E-2</v>
      </c>
      <c r="C126" s="1">
        <v>2.0393518518518519E-2</v>
      </c>
      <c r="D126" s="1">
        <v>0</v>
      </c>
      <c r="E126" s="1">
        <v>0</v>
      </c>
      <c r="F126" s="1">
        <v>0</v>
      </c>
      <c r="G126" s="1">
        <v>0</v>
      </c>
      <c r="H126" s="1">
        <v>2.0798611111111111E-2</v>
      </c>
      <c r="I126" s="1">
        <v>7.048611111111111E-2</v>
      </c>
    </row>
    <row r="127" spans="1:9" x14ac:dyDescent="0.25">
      <c r="A127" t="s">
        <v>126</v>
      </c>
      <c r="B127" s="1">
        <v>2.7534722222222221E-2</v>
      </c>
      <c r="C127" s="1">
        <v>1.0034722222222221E-2</v>
      </c>
      <c r="D127" s="1">
        <v>0</v>
      </c>
      <c r="E127" s="1">
        <v>0</v>
      </c>
      <c r="F127" s="1">
        <v>0.10326388888888889</v>
      </c>
      <c r="G127" s="1">
        <v>0</v>
      </c>
      <c r="H127" s="1">
        <v>0</v>
      </c>
      <c r="I127" s="1">
        <v>0.14153935185185185</v>
      </c>
    </row>
    <row r="128" spans="1:9" x14ac:dyDescent="0.25">
      <c r="A128" t="s">
        <v>127</v>
      </c>
      <c r="B128" s="1">
        <v>2.736111111111111E-2</v>
      </c>
      <c r="C128" s="1">
        <v>2.1550925925925928E-2</v>
      </c>
      <c r="D128" s="1">
        <v>0</v>
      </c>
      <c r="E128" s="1">
        <v>4.5567129629629631E-2</v>
      </c>
      <c r="F128" s="1">
        <v>0</v>
      </c>
      <c r="G128" s="1">
        <v>0</v>
      </c>
      <c r="H128" s="1">
        <v>0</v>
      </c>
      <c r="I128" s="1">
        <v>9.5694444444444457E-2</v>
      </c>
    </row>
    <row r="129" spans="1:9" x14ac:dyDescent="0.25">
      <c r="A129" t="s">
        <v>128</v>
      </c>
      <c r="B129" s="1">
        <v>2.7430555555555555E-2</v>
      </c>
      <c r="C129" s="1">
        <v>2.0659722222222222E-2</v>
      </c>
      <c r="D129" s="1">
        <v>0</v>
      </c>
      <c r="E129" s="1">
        <v>0</v>
      </c>
      <c r="F129" s="1">
        <v>0</v>
      </c>
      <c r="G129" s="1">
        <v>6.4004629629629628E-3</v>
      </c>
      <c r="H129" s="1">
        <v>0</v>
      </c>
      <c r="I129" s="1">
        <v>5.5231481481481486E-2</v>
      </c>
    </row>
    <row r="130" spans="1:9" x14ac:dyDescent="0.25">
      <c r="A130" t="s">
        <v>129</v>
      </c>
      <c r="B130" s="1">
        <v>2.7407407407407408E-2</v>
      </c>
      <c r="C130" s="1">
        <v>2.0381944444444446E-2</v>
      </c>
      <c r="D130" s="1">
        <v>0</v>
      </c>
      <c r="E130" s="1">
        <v>3.6655092592592593E-2</v>
      </c>
      <c r="F130" s="1">
        <v>0.10546296296296297</v>
      </c>
      <c r="G130" s="1">
        <v>0</v>
      </c>
      <c r="H130" s="1">
        <v>0</v>
      </c>
      <c r="I130" s="1">
        <v>0.19140046296296295</v>
      </c>
    </row>
    <row r="131" spans="1:9" x14ac:dyDescent="0.25">
      <c r="A131" t="s">
        <v>130</v>
      </c>
      <c r="B131" s="1">
        <v>2.7650462962962963E-2</v>
      </c>
      <c r="C131" s="1">
        <v>2.0729166666666667E-2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4.8506944444444443E-2</v>
      </c>
    </row>
    <row r="132" spans="1:9" x14ac:dyDescent="0.25">
      <c r="A132" t="s">
        <v>131</v>
      </c>
      <c r="B132" s="1">
        <v>2.763888888888889E-2</v>
      </c>
      <c r="C132" s="1">
        <v>2.0659722222222222E-2</v>
      </c>
      <c r="D132" s="1">
        <v>0</v>
      </c>
      <c r="E132" s="1">
        <v>0</v>
      </c>
      <c r="F132" s="1">
        <v>0</v>
      </c>
      <c r="G132" s="1">
        <v>0</v>
      </c>
      <c r="H132" s="1">
        <v>3.2939814814814811E-2</v>
      </c>
      <c r="I132" s="1">
        <v>8.1423611111111113E-2</v>
      </c>
    </row>
    <row r="133" spans="1:9" x14ac:dyDescent="0.25">
      <c r="A133" t="s">
        <v>132</v>
      </c>
      <c r="B133" s="1">
        <v>2.7141203703703706E-2</v>
      </c>
      <c r="C133" s="1">
        <v>1.0601851851851854E-2</v>
      </c>
      <c r="D133" s="1">
        <v>0</v>
      </c>
      <c r="E133" s="1">
        <v>0</v>
      </c>
      <c r="F133" s="1">
        <v>0</v>
      </c>
      <c r="G133" s="1">
        <v>0</v>
      </c>
      <c r="H133" s="1">
        <v>0.15319444444444444</v>
      </c>
      <c r="I133" s="1">
        <v>0.19189814814814818</v>
      </c>
    </row>
    <row r="134" spans="1:9" x14ac:dyDescent="0.25">
      <c r="A134" t="s">
        <v>133</v>
      </c>
      <c r="B134" s="1">
        <v>3.0173611111111113E-2</v>
      </c>
      <c r="C134" s="1">
        <v>1.9849537037037037E-2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5.1666666666666666E-2</v>
      </c>
    </row>
    <row r="135" spans="1:9" x14ac:dyDescent="0.25">
      <c r="A135" t="s">
        <v>134</v>
      </c>
      <c r="B135" s="1">
        <v>2.7881944444444445E-2</v>
      </c>
      <c r="C135" s="1">
        <v>3.5104166666666665E-2</v>
      </c>
      <c r="D135" s="1">
        <v>2.3148148148148147E-5</v>
      </c>
      <c r="E135" s="1">
        <v>0</v>
      </c>
      <c r="F135" s="1">
        <v>0</v>
      </c>
      <c r="G135" s="1">
        <v>1.7708333333333332E-3</v>
      </c>
      <c r="H135" s="1">
        <v>9.9259259259259269E-2</v>
      </c>
      <c r="I135" s="1">
        <v>0.1645486111111111</v>
      </c>
    </row>
    <row r="136" spans="1:9" x14ac:dyDescent="0.25">
      <c r="A136" t="s">
        <v>135</v>
      </c>
      <c r="B136" s="1">
        <v>2.4513888888888887E-2</v>
      </c>
      <c r="C136" s="1">
        <v>1.9976851851851853E-2</v>
      </c>
      <c r="D136" s="1">
        <v>5.033564814814815E-2</v>
      </c>
      <c r="E136" s="1">
        <v>0</v>
      </c>
      <c r="F136" s="1">
        <v>0</v>
      </c>
      <c r="G136" s="1">
        <v>0</v>
      </c>
      <c r="H136" s="1">
        <v>0</v>
      </c>
      <c r="I136" s="1">
        <v>9.5034722222222215E-2</v>
      </c>
    </row>
    <row r="137" spans="1:9" x14ac:dyDescent="0.25">
      <c r="A137" t="s">
        <v>136</v>
      </c>
      <c r="B137" s="1">
        <v>2.78125E-2</v>
      </c>
      <c r="C137" s="1">
        <v>2.1261574074074075E-2</v>
      </c>
      <c r="D137" s="1">
        <v>0</v>
      </c>
      <c r="E137" s="1">
        <v>3.8784722222222227E-2</v>
      </c>
      <c r="F137" s="1">
        <v>0</v>
      </c>
      <c r="G137" s="1">
        <v>0</v>
      </c>
      <c r="H137" s="1">
        <v>0</v>
      </c>
      <c r="I137" s="1">
        <v>8.7997685185185193E-2</v>
      </c>
    </row>
    <row r="138" spans="1:9" x14ac:dyDescent="0.25">
      <c r="A138" t="s">
        <v>137</v>
      </c>
      <c r="B138" s="1">
        <v>2.7951388888888887E-2</v>
      </c>
      <c r="C138" s="1">
        <v>1.909722222222222E-2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4.7395833333333331E-2</v>
      </c>
    </row>
    <row r="139" spans="1:9" x14ac:dyDescent="0.25">
      <c r="A139" t="s">
        <v>138</v>
      </c>
      <c r="B139" s="1">
        <v>0</v>
      </c>
      <c r="C139" s="1">
        <v>1.9305555555555555E-2</v>
      </c>
      <c r="D139" s="1">
        <v>0</v>
      </c>
      <c r="E139" s="1">
        <v>0</v>
      </c>
      <c r="F139" s="1">
        <v>0.13769675925925925</v>
      </c>
      <c r="G139" s="1">
        <v>0</v>
      </c>
      <c r="H139" s="1">
        <v>0</v>
      </c>
      <c r="I139" s="1">
        <v>0.1575462962962963</v>
      </c>
    </row>
    <row r="140" spans="1:9" x14ac:dyDescent="0.25">
      <c r="A140" t="s">
        <v>139</v>
      </c>
      <c r="B140" s="1">
        <v>2.7569444444444448E-2</v>
      </c>
      <c r="C140" s="1">
        <v>2.0393518518518519E-2</v>
      </c>
      <c r="D140" s="1">
        <v>4.5821759259259263E-2</v>
      </c>
      <c r="E140" s="1">
        <v>0</v>
      </c>
      <c r="F140" s="1">
        <v>0</v>
      </c>
      <c r="G140" s="1">
        <v>0</v>
      </c>
      <c r="H140" s="1">
        <v>0</v>
      </c>
      <c r="I140" s="1">
        <v>9.5196759259259259E-2</v>
      </c>
    </row>
    <row r="141" spans="1:9" x14ac:dyDescent="0.25">
      <c r="A141" t="s">
        <v>140</v>
      </c>
      <c r="B141" s="1">
        <v>2.7893518518518515E-2</v>
      </c>
      <c r="C141" s="1">
        <v>2.0844907407407406E-2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4.8854166666666664E-2</v>
      </c>
    </row>
    <row r="142" spans="1:9" x14ac:dyDescent="0.25">
      <c r="A142" t="s">
        <v>141</v>
      </c>
      <c r="B142" s="1">
        <v>2.7337962962962963E-2</v>
      </c>
      <c r="C142" s="1">
        <v>1.9872685185185184E-2</v>
      </c>
      <c r="D142" s="1">
        <v>0</v>
      </c>
      <c r="E142" s="1">
        <v>3.7754629629629631E-2</v>
      </c>
      <c r="F142" s="1">
        <v>0.10428240740740741</v>
      </c>
      <c r="G142" s="1">
        <v>0</v>
      </c>
      <c r="H142" s="1">
        <v>0</v>
      </c>
      <c r="I142" s="1">
        <v>0.18931712962962963</v>
      </c>
    </row>
    <row r="143" spans="1:9" x14ac:dyDescent="0.25">
      <c r="A143" t="s">
        <v>142</v>
      </c>
      <c r="B143" s="1">
        <v>2.4120370370370372E-2</v>
      </c>
      <c r="C143" s="1">
        <v>2.0509259259259258E-2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5.1898148148148145E-2</v>
      </c>
    </row>
    <row r="144" spans="1:9" x14ac:dyDescent="0.25">
      <c r="A144" t="s">
        <v>143</v>
      </c>
      <c r="B144" s="1">
        <v>2.6261574074074076E-2</v>
      </c>
      <c r="C144" s="1">
        <v>2.1423611111111112E-2</v>
      </c>
      <c r="D144" s="1">
        <v>0</v>
      </c>
      <c r="E144" s="1">
        <v>0</v>
      </c>
      <c r="F144" s="1">
        <v>0</v>
      </c>
      <c r="G144" s="1">
        <v>0</v>
      </c>
      <c r="H144" s="1">
        <v>0.16267361111111112</v>
      </c>
      <c r="I144" s="1">
        <v>0.21081018518518521</v>
      </c>
    </row>
    <row r="145" spans="1:9" x14ac:dyDescent="0.25">
      <c r="A145" t="s">
        <v>144</v>
      </c>
      <c r="B145" s="1">
        <v>2.7604166666666666E-2</v>
      </c>
      <c r="C145" s="1">
        <v>2.2314814814814815E-2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5.004629629629629E-2</v>
      </c>
    </row>
    <row r="146" spans="1:9" x14ac:dyDescent="0.25">
      <c r="A146" t="s">
        <v>145</v>
      </c>
      <c r="B146" s="1">
        <v>2.7777777777777776E-2</v>
      </c>
      <c r="C146" s="1">
        <v>1.0381944444444444E-2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3.8946759259259257E-2</v>
      </c>
    </row>
    <row r="147" spans="1:9" x14ac:dyDescent="0.25">
      <c r="A147" t="s">
        <v>146</v>
      </c>
      <c r="B147" s="1">
        <v>3.0208333333333334E-2</v>
      </c>
      <c r="C147" s="1">
        <v>1.5682870370370371E-2</v>
      </c>
      <c r="D147" s="1">
        <v>0</v>
      </c>
      <c r="E147" s="1">
        <v>4.6087962962962963E-2</v>
      </c>
      <c r="F147" s="1">
        <v>0</v>
      </c>
      <c r="G147" s="1">
        <v>0</v>
      </c>
      <c r="H147" s="1">
        <v>7.4687500000000004E-2</v>
      </c>
      <c r="I147" s="1">
        <v>0.16840277777777779</v>
      </c>
    </row>
    <row r="148" spans="1:9" x14ac:dyDescent="0.25">
      <c r="A148" t="s">
        <v>147</v>
      </c>
      <c r="B148" s="1">
        <v>2.3692129629629629E-2</v>
      </c>
      <c r="C148" s="1">
        <v>2.462962962962963E-2</v>
      </c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5.0127314814814812E-2</v>
      </c>
    </row>
    <row r="149" spans="1:9" x14ac:dyDescent="0.25">
      <c r="A149" t="s">
        <v>148</v>
      </c>
      <c r="B149" s="1">
        <v>0</v>
      </c>
      <c r="C149" s="1">
        <v>1.0347222222222223E-2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1.045138888888889E-2</v>
      </c>
    </row>
    <row r="150" spans="1:9" x14ac:dyDescent="0.25">
      <c r="A150" t="s">
        <v>149</v>
      </c>
      <c r="B150" s="1">
        <v>2.7847222222222221E-2</v>
      </c>
      <c r="C150" s="1">
        <v>2.0254629629629629E-2</v>
      </c>
      <c r="D150" s="1">
        <v>4.6412037037037036E-2</v>
      </c>
      <c r="E150" s="1">
        <v>0</v>
      </c>
      <c r="F150" s="1">
        <v>0</v>
      </c>
      <c r="G150" s="1">
        <v>0</v>
      </c>
      <c r="H150" s="1">
        <v>0</v>
      </c>
      <c r="I150" s="1">
        <v>9.5034722222222215E-2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50"/>
  <sheetViews>
    <sheetView workbookViewId="0">
      <selection activeCell="A2" sqref="A2"/>
    </sheetView>
  </sheetViews>
  <sheetFormatPr defaultRowHeight="15" x14ac:dyDescent="0.25"/>
  <cols>
    <col min="1" max="1" width="34.85546875" bestFit="1" customWidth="1"/>
    <col min="2" max="2" width="19.140625" bestFit="1" customWidth="1"/>
    <col min="3" max="3" width="15.28515625" bestFit="1" customWidth="1"/>
    <col min="4" max="4" width="14.140625" bestFit="1" customWidth="1"/>
    <col min="5" max="5" width="22.5703125" bestFit="1" customWidth="1"/>
    <col min="6" max="6" width="16.28515625" bestFit="1" customWidth="1"/>
    <col min="7" max="7" width="11.42578125" bestFit="1" customWidth="1"/>
    <col min="8" max="8" width="6.140625" bestFit="1" customWidth="1"/>
    <col min="9" max="9" width="14.28515625" bestFit="1" customWidth="1"/>
    <col min="10" max="10" width="12" bestFit="1" customWidth="1"/>
    <col min="11" max="11" width="17" bestFit="1" customWidth="1"/>
    <col min="12" max="12" width="12.140625" bestFit="1" customWidth="1"/>
    <col min="13" max="13" width="13.42578125" bestFit="1" customWidth="1"/>
    <col min="14" max="14" width="10" bestFit="1" customWidth="1"/>
    <col min="15" max="15" width="16.140625" bestFit="1" customWidth="1"/>
    <col min="16" max="16" width="14.42578125" bestFit="1" customWidth="1"/>
    <col min="17" max="17" width="8.140625" bestFit="1" customWidth="1"/>
  </cols>
  <sheetData>
    <row r="1" spans="1:17" x14ac:dyDescent="0.25">
      <c r="A1" s="3" t="s">
        <v>158</v>
      </c>
      <c r="B1" s="3" t="s">
        <v>159</v>
      </c>
      <c r="C1" s="3" t="s">
        <v>160</v>
      </c>
      <c r="D1" s="3" t="s">
        <v>0</v>
      </c>
      <c r="E1" s="3" t="s">
        <v>161</v>
      </c>
      <c r="F1" s="3" t="s">
        <v>162</v>
      </c>
      <c r="G1" s="3" t="s">
        <v>163</v>
      </c>
      <c r="H1" s="3" t="s">
        <v>164</v>
      </c>
      <c r="I1" s="3" t="s">
        <v>165</v>
      </c>
      <c r="J1" s="3" t="s">
        <v>166</v>
      </c>
      <c r="K1" s="3" t="s">
        <v>167</v>
      </c>
      <c r="L1" s="3" t="s">
        <v>168</v>
      </c>
      <c r="M1" s="3" t="s">
        <v>169</v>
      </c>
      <c r="N1" s="3" t="s">
        <v>170</v>
      </c>
      <c r="O1" s="3" t="s">
        <v>171</v>
      </c>
      <c r="P1" s="3" t="s">
        <v>172</v>
      </c>
      <c r="Q1" s="3" t="s">
        <v>173</v>
      </c>
    </row>
    <row r="2" spans="1:17" x14ac:dyDescent="0.25">
      <c r="A2" t="s">
        <v>1</v>
      </c>
      <c r="B2" s="1">
        <v>0.34424768518518517</v>
      </c>
      <c r="C2" s="1">
        <v>0.20693287037037036</v>
      </c>
      <c r="D2">
        <v>98</v>
      </c>
      <c r="E2" s="2">
        <v>0.69540000000000002</v>
      </c>
      <c r="F2" s="2">
        <v>0.55700000000000005</v>
      </c>
      <c r="G2" s="2">
        <v>0.57850000000000001</v>
      </c>
      <c r="H2" s="2">
        <v>1E-4</v>
      </c>
      <c r="I2" s="2">
        <v>0.25679999999999997</v>
      </c>
      <c r="J2" s="2">
        <v>2.2499999999999999E-2</v>
      </c>
      <c r="K2" s="2">
        <v>0</v>
      </c>
      <c r="L2" s="2">
        <v>0.1386</v>
      </c>
      <c r="M2" s="2">
        <v>3.5000000000000001E-3</v>
      </c>
      <c r="N2">
        <v>2</v>
      </c>
      <c r="O2">
        <v>3</v>
      </c>
      <c r="P2">
        <v>0</v>
      </c>
      <c r="Q2">
        <v>0</v>
      </c>
    </row>
    <row r="3" spans="1:17" x14ac:dyDescent="0.25">
      <c r="A3" t="s">
        <v>2</v>
      </c>
      <c r="B3" s="1">
        <v>0.34416666666666668</v>
      </c>
      <c r="C3" s="1">
        <v>0.20733796296296295</v>
      </c>
      <c r="D3">
        <v>23</v>
      </c>
      <c r="E3" s="2">
        <v>0.70130000000000003</v>
      </c>
      <c r="F3" s="2">
        <v>0.58030000000000004</v>
      </c>
      <c r="G3" s="2">
        <v>0.58630000000000004</v>
      </c>
      <c r="H3" s="2">
        <v>0</v>
      </c>
      <c r="I3" s="2">
        <v>0.25369999999999998</v>
      </c>
      <c r="J3" s="2">
        <v>1.61E-2</v>
      </c>
      <c r="K3" s="2">
        <v>0</v>
      </c>
      <c r="L3" s="2">
        <v>0.14119999999999999</v>
      </c>
      <c r="M3" s="2">
        <v>2.5999999999999999E-3</v>
      </c>
      <c r="N3">
        <v>2</v>
      </c>
      <c r="O3">
        <v>1</v>
      </c>
      <c r="P3">
        <v>0</v>
      </c>
      <c r="Q3">
        <v>0</v>
      </c>
    </row>
    <row r="4" spans="1:17" x14ac:dyDescent="0.25">
      <c r="A4" t="s">
        <v>3</v>
      </c>
      <c r="B4" s="1">
        <v>0.34510416666666671</v>
      </c>
      <c r="C4" s="1">
        <v>0.20109953703703706</v>
      </c>
      <c r="D4">
        <v>28</v>
      </c>
      <c r="E4" s="2">
        <v>0.67769999999999997</v>
      </c>
      <c r="F4" s="2">
        <v>0.5171</v>
      </c>
      <c r="G4" s="2">
        <v>0.54039999999999999</v>
      </c>
      <c r="H4" s="2">
        <v>1.9699999999999999E-2</v>
      </c>
      <c r="I4" s="2">
        <v>0.26450000000000001</v>
      </c>
      <c r="J4" s="2">
        <v>2.2700000000000001E-2</v>
      </c>
      <c r="K4" s="2">
        <v>0</v>
      </c>
      <c r="L4" s="2">
        <v>0.1487</v>
      </c>
      <c r="M4" s="2">
        <v>4.0000000000000001E-3</v>
      </c>
      <c r="N4">
        <v>6</v>
      </c>
      <c r="O4">
        <v>3</v>
      </c>
      <c r="P4">
        <v>4</v>
      </c>
      <c r="Q4">
        <v>1</v>
      </c>
    </row>
    <row r="5" spans="1:17" x14ac:dyDescent="0.25">
      <c r="A5" t="s">
        <v>4</v>
      </c>
      <c r="B5" s="1">
        <v>0.34023148148148147</v>
      </c>
      <c r="C5" s="1">
        <v>0.17884259259259261</v>
      </c>
      <c r="D5">
        <v>29</v>
      </c>
      <c r="E5" s="2">
        <v>0.72070000000000001</v>
      </c>
      <c r="F5" s="2">
        <v>0.47720000000000001</v>
      </c>
      <c r="G5" s="2">
        <v>0.498</v>
      </c>
      <c r="H5" s="2">
        <v>1E-4</v>
      </c>
      <c r="I5" s="2">
        <v>0.18360000000000001</v>
      </c>
      <c r="J5" s="2">
        <v>2.76E-2</v>
      </c>
      <c r="K5" s="2">
        <v>0</v>
      </c>
      <c r="L5" s="2">
        <v>0.2838</v>
      </c>
      <c r="M5" s="2">
        <v>7.0000000000000001E-3</v>
      </c>
      <c r="N5">
        <v>1</v>
      </c>
      <c r="O5">
        <v>2</v>
      </c>
      <c r="P5">
        <v>0</v>
      </c>
      <c r="Q5">
        <v>0</v>
      </c>
    </row>
    <row r="6" spans="1:17" x14ac:dyDescent="0.25">
      <c r="A6" t="s">
        <v>5</v>
      </c>
      <c r="B6" s="1">
        <v>0.30603009259259256</v>
      </c>
      <c r="C6" s="1">
        <v>0.13870370370370369</v>
      </c>
      <c r="D6">
        <v>93</v>
      </c>
      <c r="E6" s="2">
        <v>0.77990000000000004</v>
      </c>
      <c r="F6" s="2">
        <v>0.43290000000000001</v>
      </c>
      <c r="G6" s="2">
        <v>0.435</v>
      </c>
      <c r="H6" s="2">
        <v>4.0000000000000002E-4</v>
      </c>
      <c r="I6" s="2">
        <v>0.11360000000000001</v>
      </c>
      <c r="J6" s="2">
        <v>1.7899999999999999E-2</v>
      </c>
      <c r="K6" s="2">
        <v>0</v>
      </c>
      <c r="L6" s="2">
        <v>0.41970000000000002</v>
      </c>
      <c r="M6" s="2">
        <v>1.34E-2</v>
      </c>
      <c r="N6">
        <v>0</v>
      </c>
      <c r="O6">
        <v>4</v>
      </c>
      <c r="P6">
        <v>0</v>
      </c>
      <c r="Q6">
        <v>0</v>
      </c>
    </row>
    <row r="7" spans="1:17" x14ac:dyDescent="0.25">
      <c r="A7" t="s">
        <v>6</v>
      </c>
      <c r="B7" s="1">
        <v>0.20843750000000003</v>
      </c>
      <c r="C7" s="1">
        <v>0.15369212962962964</v>
      </c>
      <c r="D7">
        <v>92</v>
      </c>
      <c r="E7" s="2">
        <v>0.77600000000000002</v>
      </c>
      <c r="F7" s="2">
        <v>0.65500000000000003</v>
      </c>
      <c r="G7" s="2">
        <v>0.65759999999999996</v>
      </c>
      <c r="H7" s="2">
        <v>8.6E-3</v>
      </c>
      <c r="I7" s="2">
        <v>0.16270000000000001</v>
      </c>
      <c r="J7" s="2">
        <v>7.1199999999999999E-2</v>
      </c>
      <c r="K7" s="2">
        <v>0</v>
      </c>
      <c r="L7" s="2">
        <v>9.0300000000000005E-2</v>
      </c>
      <c r="M7" s="2">
        <v>9.5999999999999992E-3</v>
      </c>
      <c r="N7">
        <v>2</v>
      </c>
      <c r="O7">
        <v>8</v>
      </c>
      <c r="P7">
        <v>2</v>
      </c>
      <c r="Q7">
        <v>0</v>
      </c>
    </row>
    <row r="8" spans="1:17" x14ac:dyDescent="0.25">
      <c r="A8" t="s">
        <v>7</v>
      </c>
      <c r="B8" s="1">
        <v>0.34488425925925931</v>
      </c>
      <c r="C8" s="1">
        <v>0.17553240740740741</v>
      </c>
      <c r="D8">
        <v>26</v>
      </c>
      <c r="E8" s="2">
        <v>0.75429999999999997</v>
      </c>
      <c r="F8" s="2">
        <v>0.49480000000000002</v>
      </c>
      <c r="G8" s="2">
        <v>0.50070000000000003</v>
      </c>
      <c r="H8" s="2">
        <v>0</v>
      </c>
      <c r="I8" s="2">
        <v>0.15049999999999999</v>
      </c>
      <c r="J8" s="2">
        <v>8.0999999999999996E-3</v>
      </c>
      <c r="K8" s="2">
        <v>0</v>
      </c>
      <c r="L8" s="2">
        <v>0.3256</v>
      </c>
      <c r="M8" s="2">
        <v>1.4999999999999999E-2</v>
      </c>
      <c r="N8">
        <v>0</v>
      </c>
      <c r="O8">
        <v>0</v>
      </c>
      <c r="P8">
        <v>0</v>
      </c>
      <c r="Q8">
        <v>0</v>
      </c>
    </row>
    <row r="9" spans="1:17" x14ac:dyDescent="0.25">
      <c r="A9" t="s">
        <v>8</v>
      </c>
      <c r="B9" s="1">
        <v>0.38646990740740739</v>
      </c>
      <c r="C9" s="1">
        <v>0.24453703703703702</v>
      </c>
      <c r="D9">
        <v>90</v>
      </c>
      <c r="E9" s="2">
        <v>0.72350000000000003</v>
      </c>
      <c r="F9" s="2">
        <v>0.55130000000000001</v>
      </c>
      <c r="G9" s="2">
        <v>0.58179999999999998</v>
      </c>
      <c r="H9" s="2">
        <v>8.6999999999999994E-3</v>
      </c>
      <c r="I9" s="2">
        <v>0.22789999999999999</v>
      </c>
      <c r="J9" s="2">
        <v>4.2200000000000001E-2</v>
      </c>
      <c r="K9" s="2">
        <v>0</v>
      </c>
      <c r="L9" s="2">
        <v>0.13150000000000001</v>
      </c>
      <c r="M9" s="2">
        <v>7.7999999999999996E-3</v>
      </c>
      <c r="N9">
        <v>0</v>
      </c>
      <c r="O9">
        <v>8</v>
      </c>
      <c r="P9">
        <v>3</v>
      </c>
      <c r="Q9">
        <v>1</v>
      </c>
    </row>
    <row r="10" spans="1:17" x14ac:dyDescent="0.25">
      <c r="A10" t="s">
        <v>9</v>
      </c>
      <c r="B10" s="1">
        <v>0.34256944444444448</v>
      </c>
      <c r="C10" s="1">
        <v>0.20311342592592593</v>
      </c>
      <c r="D10">
        <v>89</v>
      </c>
      <c r="E10" s="2">
        <v>0.6825</v>
      </c>
      <c r="F10" s="2">
        <v>0.55210000000000004</v>
      </c>
      <c r="G10" s="2">
        <v>0.57530000000000003</v>
      </c>
      <c r="H10" s="2">
        <v>6.9999999999999999E-4</v>
      </c>
      <c r="I10" s="2">
        <v>0.2656</v>
      </c>
      <c r="J10" s="2">
        <v>1.6899999999999998E-2</v>
      </c>
      <c r="K10" s="2">
        <v>0</v>
      </c>
      <c r="L10" s="2">
        <v>0.1351</v>
      </c>
      <c r="M10" s="2">
        <v>6.4000000000000003E-3</v>
      </c>
      <c r="N10">
        <v>4</v>
      </c>
      <c r="O10">
        <v>0</v>
      </c>
      <c r="P10">
        <v>0</v>
      </c>
      <c r="Q10">
        <v>0</v>
      </c>
    </row>
    <row r="11" spans="1:17" x14ac:dyDescent="0.25">
      <c r="A11" t="s">
        <v>10</v>
      </c>
      <c r="B11" s="1">
        <v>0.34769675925925925</v>
      </c>
      <c r="C11" s="1">
        <v>0.20702546296296295</v>
      </c>
      <c r="D11">
        <v>54</v>
      </c>
      <c r="E11" s="2">
        <v>0.69189999999999996</v>
      </c>
      <c r="F11" s="2">
        <v>0.56869999999999998</v>
      </c>
      <c r="G11" s="2">
        <v>0.58520000000000005</v>
      </c>
      <c r="H11" s="2">
        <v>2.0000000000000001E-4</v>
      </c>
      <c r="I11" s="2">
        <v>0.26119999999999999</v>
      </c>
      <c r="J11" s="2">
        <v>1.01E-2</v>
      </c>
      <c r="K11" s="2">
        <v>0</v>
      </c>
      <c r="L11" s="2">
        <v>0.13969999999999999</v>
      </c>
      <c r="M11" s="2">
        <v>3.7000000000000002E-3</v>
      </c>
      <c r="N11">
        <v>2</v>
      </c>
      <c r="O11">
        <v>0</v>
      </c>
      <c r="P11">
        <v>0</v>
      </c>
      <c r="Q11">
        <v>0</v>
      </c>
    </row>
    <row r="12" spans="1:17" x14ac:dyDescent="0.25">
      <c r="A12" t="s">
        <v>11</v>
      </c>
      <c r="B12" s="1">
        <v>0.34068287037037037</v>
      </c>
      <c r="C12" s="1">
        <v>0.20518518518518516</v>
      </c>
      <c r="D12">
        <v>87</v>
      </c>
      <c r="E12" s="2">
        <v>0.70099999999999996</v>
      </c>
      <c r="F12" s="2">
        <v>0.56040000000000001</v>
      </c>
      <c r="G12" s="2">
        <v>0.56899999999999995</v>
      </c>
      <c r="H12" s="2">
        <v>1.0699999999999999E-2</v>
      </c>
      <c r="I12" s="2">
        <v>0.24990000000000001</v>
      </c>
      <c r="J12" s="2">
        <v>2.2599999999999999E-2</v>
      </c>
      <c r="K12" s="2">
        <v>0</v>
      </c>
      <c r="L12" s="2">
        <v>0.14119999999999999</v>
      </c>
      <c r="M12" s="2">
        <v>6.7000000000000002E-3</v>
      </c>
      <c r="N12">
        <v>2</v>
      </c>
      <c r="O12">
        <v>3</v>
      </c>
      <c r="P12">
        <v>3</v>
      </c>
      <c r="Q12">
        <v>0</v>
      </c>
    </row>
    <row r="13" spans="1:17" x14ac:dyDescent="0.25">
      <c r="A13" t="s">
        <v>12</v>
      </c>
      <c r="B13" s="1">
        <v>0.33622685185185186</v>
      </c>
      <c r="C13" s="1">
        <v>0.15812499999999999</v>
      </c>
      <c r="D13">
        <v>65</v>
      </c>
      <c r="E13" s="2">
        <v>0.71240000000000003</v>
      </c>
      <c r="F13" s="2">
        <v>0.41549999999999998</v>
      </c>
      <c r="G13" s="2">
        <v>0.42580000000000001</v>
      </c>
      <c r="H13" s="2">
        <v>0</v>
      </c>
      <c r="I13" s="2">
        <v>0.1462</v>
      </c>
      <c r="J13" s="2">
        <v>4.4499999999999998E-2</v>
      </c>
      <c r="K13" s="2">
        <v>0</v>
      </c>
      <c r="L13" s="2">
        <v>0.3745</v>
      </c>
      <c r="M13" s="2">
        <v>9.1000000000000004E-3</v>
      </c>
      <c r="N13">
        <v>0</v>
      </c>
      <c r="O13">
        <v>8</v>
      </c>
      <c r="P13">
        <v>0</v>
      </c>
      <c r="Q13">
        <v>0</v>
      </c>
    </row>
    <row r="14" spans="1:17" x14ac:dyDescent="0.25">
      <c r="A14" t="s">
        <v>13</v>
      </c>
      <c r="B14" s="1">
        <v>0.34349537037037042</v>
      </c>
      <c r="C14" s="1">
        <v>0.19699074074074074</v>
      </c>
      <c r="D14">
        <v>85</v>
      </c>
      <c r="E14" s="2">
        <v>0.76959999999999995</v>
      </c>
      <c r="F14" s="2">
        <v>0.50029999999999997</v>
      </c>
      <c r="G14" s="2">
        <v>0.51629999999999998</v>
      </c>
      <c r="H14" s="2">
        <v>1E-4</v>
      </c>
      <c r="I14" s="2">
        <v>0.1663</v>
      </c>
      <c r="J14" s="2">
        <v>5.7099999999999998E-2</v>
      </c>
      <c r="K14" s="2">
        <v>0</v>
      </c>
      <c r="L14" s="2">
        <v>0.25609999999999999</v>
      </c>
      <c r="M14" s="2">
        <v>4.1000000000000003E-3</v>
      </c>
      <c r="N14">
        <v>1</v>
      </c>
      <c r="O14">
        <v>9</v>
      </c>
      <c r="P14">
        <v>0</v>
      </c>
      <c r="Q14">
        <v>0</v>
      </c>
    </row>
    <row r="15" spans="1:17" x14ac:dyDescent="0.25">
      <c r="A15" t="s">
        <v>14</v>
      </c>
      <c r="B15" s="1">
        <v>0.33321759259259259</v>
      </c>
      <c r="C15" s="1">
        <v>0.19475694444444444</v>
      </c>
      <c r="D15">
        <v>65</v>
      </c>
      <c r="E15" s="2">
        <v>0.68469999999999998</v>
      </c>
      <c r="F15" s="2">
        <v>0.51400000000000001</v>
      </c>
      <c r="G15" s="2">
        <v>0.53139999999999998</v>
      </c>
      <c r="H15" s="2">
        <v>8.8000000000000005E-3</v>
      </c>
      <c r="I15" s="2">
        <v>0.26229999999999998</v>
      </c>
      <c r="J15" s="2">
        <v>4.4299999999999999E-2</v>
      </c>
      <c r="K15" s="2">
        <v>0</v>
      </c>
      <c r="L15" s="2">
        <v>0.14710000000000001</v>
      </c>
      <c r="M15" s="2">
        <v>6.1000000000000004E-3</v>
      </c>
      <c r="N15">
        <v>1</v>
      </c>
      <c r="O15">
        <v>8</v>
      </c>
      <c r="P15">
        <v>3</v>
      </c>
      <c r="Q15">
        <v>1</v>
      </c>
    </row>
    <row r="16" spans="1:17" x14ac:dyDescent="0.25">
      <c r="A16" t="s">
        <v>15</v>
      </c>
      <c r="B16" s="1">
        <v>0.34512731481481485</v>
      </c>
      <c r="C16" s="1">
        <v>0.2066550925925926</v>
      </c>
      <c r="D16">
        <v>83</v>
      </c>
      <c r="E16" s="2">
        <v>0.69279999999999997</v>
      </c>
      <c r="F16" s="2">
        <v>0.51060000000000005</v>
      </c>
      <c r="G16" s="2">
        <v>0.53900000000000003</v>
      </c>
      <c r="H16" s="2">
        <v>2.81E-2</v>
      </c>
      <c r="I16" s="2">
        <v>0.23669999999999999</v>
      </c>
      <c r="J16" s="2">
        <v>3.1800000000000002E-2</v>
      </c>
      <c r="K16" s="2">
        <v>0</v>
      </c>
      <c r="L16" s="2">
        <v>0.15490000000000001</v>
      </c>
      <c r="M16" s="2">
        <v>9.5999999999999992E-3</v>
      </c>
      <c r="N16">
        <v>2</v>
      </c>
      <c r="O16">
        <v>4</v>
      </c>
      <c r="P16">
        <v>7</v>
      </c>
      <c r="Q16">
        <v>0</v>
      </c>
    </row>
    <row r="17" spans="1:17" x14ac:dyDescent="0.25">
      <c r="A17" t="s">
        <v>16</v>
      </c>
      <c r="B17" s="1">
        <v>0.34531249999999997</v>
      </c>
      <c r="C17" s="1">
        <v>0.17390046296296294</v>
      </c>
      <c r="D17">
        <v>82</v>
      </c>
      <c r="E17" s="2">
        <v>0.70799999999999996</v>
      </c>
      <c r="F17" s="2">
        <v>0.4829</v>
      </c>
      <c r="G17" s="2">
        <v>0.4854</v>
      </c>
      <c r="H17" s="2">
        <v>2.0000000000000001E-4</v>
      </c>
      <c r="I17" s="2">
        <v>0.20330000000000001</v>
      </c>
      <c r="J17" s="2">
        <v>1.7999999999999999E-2</v>
      </c>
      <c r="K17" s="2">
        <v>0</v>
      </c>
      <c r="L17" s="2">
        <v>0.2903</v>
      </c>
      <c r="M17" s="2">
        <v>2.8999999999999998E-3</v>
      </c>
      <c r="N17">
        <v>2</v>
      </c>
      <c r="O17">
        <v>1</v>
      </c>
      <c r="P17">
        <v>0</v>
      </c>
      <c r="Q17">
        <v>0</v>
      </c>
    </row>
    <row r="18" spans="1:17" x14ac:dyDescent="0.25">
      <c r="A18" t="s">
        <v>17</v>
      </c>
      <c r="B18" s="1">
        <v>0.32848379629629632</v>
      </c>
      <c r="C18" s="1">
        <v>0.1973611111111111</v>
      </c>
      <c r="D18">
        <v>81</v>
      </c>
      <c r="E18" s="2">
        <v>0.6754</v>
      </c>
      <c r="F18" s="2">
        <v>0.5736</v>
      </c>
      <c r="G18" s="2">
        <v>0.58609999999999995</v>
      </c>
      <c r="H18" s="2">
        <v>0</v>
      </c>
      <c r="I18" s="2">
        <v>0.2737</v>
      </c>
      <c r="J18" s="2">
        <v>1.47E-2</v>
      </c>
      <c r="K18" s="2">
        <v>0</v>
      </c>
      <c r="L18" s="2">
        <v>0.11940000000000001</v>
      </c>
      <c r="M18" s="2">
        <v>6.0000000000000001E-3</v>
      </c>
      <c r="N18">
        <v>1</v>
      </c>
      <c r="O18">
        <v>1</v>
      </c>
      <c r="P18">
        <v>0</v>
      </c>
      <c r="Q18">
        <v>1</v>
      </c>
    </row>
    <row r="19" spans="1:17" x14ac:dyDescent="0.25">
      <c r="A19" t="s">
        <v>18</v>
      </c>
      <c r="B19" s="1">
        <v>0.34494212962962961</v>
      </c>
      <c r="C19" s="1">
        <v>0.20702546296296295</v>
      </c>
      <c r="D19">
        <v>80</v>
      </c>
      <c r="E19" s="2">
        <v>0.69850000000000001</v>
      </c>
      <c r="F19" s="2">
        <v>0.56430000000000002</v>
      </c>
      <c r="G19" s="2">
        <v>0.59160000000000001</v>
      </c>
      <c r="H19" s="2">
        <v>0</v>
      </c>
      <c r="I19" s="2">
        <v>0.25480000000000003</v>
      </c>
      <c r="J19" s="2">
        <v>8.6E-3</v>
      </c>
      <c r="K19" s="2">
        <v>0</v>
      </c>
      <c r="L19" s="2">
        <v>0.14119999999999999</v>
      </c>
      <c r="M19" s="2">
        <v>3.8999999999999998E-3</v>
      </c>
      <c r="N19">
        <v>2</v>
      </c>
      <c r="O19">
        <v>0</v>
      </c>
      <c r="P19">
        <v>0</v>
      </c>
      <c r="Q19">
        <v>0</v>
      </c>
    </row>
    <row r="20" spans="1:17" x14ac:dyDescent="0.25">
      <c r="A20" t="s">
        <v>19</v>
      </c>
      <c r="B20" s="1">
        <v>0.34810185185185188</v>
      </c>
      <c r="C20" s="1">
        <v>0.18267361111111111</v>
      </c>
      <c r="D20">
        <v>79</v>
      </c>
      <c r="E20" s="2">
        <v>0.76549999999999996</v>
      </c>
      <c r="F20" s="2">
        <v>0.46970000000000001</v>
      </c>
      <c r="G20" s="2">
        <v>0.47860000000000003</v>
      </c>
      <c r="H20" s="2">
        <v>2.1399999999999999E-2</v>
      </c>
      <c r="I20" s="2">
        <v>0.14940000000000001</v>
      </c>
      <c r="J20" s="2">
        <v>2.4799999999999999E-2</v>
      </c>
      <c r="K20" s="2">
        <v>0</v>
      </c>
      <c r="L20" s="2">
        <v>0.31950000000000001</v>
      </c>
      <c r="M20" s="2">
        <v>6.3E-3</v>
      </c>
      <c r="N20">
        <v>6</v>
      </c>
      <c r="O20">
        <v>5</v>
      </c>
      <c r="P20">
        <v>3</v>
      </c>
      <c r="Q20">
        <v>0</v>
      </c>
    </row>
    <row r="21" spans="1:17" x14ac:dyDescent="0.25">
      <c r="A21" t="s">
        <v>20</v>
      </c>
      <c r="B21" s="1">
        <v>0.34574074074074074</v>
      </c>
      <c r="C21" s="1">
        <v>0.20710648148148147</v>
      </c>
      <c r="D21">
        <v>78</v>
      </c>
      <c r="E21" s="2">
        <v>0.6986</v>
      </c>
      <c r="F21" s="2">
        <v>0.57499999999999996</v>
      </c>
      <c r="G21" s="2">
        <v>0.58209999999999995</v>
      </c>
      <c r="H21" s="2">
        <v>3.8E-3</v>
      </c>
      <c r="I21" s="2">
        <v>0.2477</v>
      </c>
      <c r="J21" s="2">
        <v>1.3100000000000001E-2</v>
      </c>
      <c r="K21" s="2">
        <v>0</v>
      </c>
      <c r="L21" s="2">
        <v>0.14960000000000001</v>
      </c>
      <c r="M21" s="2">
        <v>3.5999999999999999E-3</v>
      </c>
      <c r="N21">
        <v>4</v>
      </c>
      <c r="O21">
        <v>1</v>
      </c>
      <c r="P21">
        <v>1</v>
      </c>
      <c r="Q21">
        <v>0</v>
      </c>
    </row>
    <row r="22" spans="1:17" x14ac:dyDescent="0.25">
      <c r="A22" t="s">
        <v>21</v>
      </c>
      <c r="B22" s="1">
        <v>0.3428356481481481</v>
      </c>
      <c r="C22" s="1">
        <v>0.20393518518518516</v>
      </c>
      <c r="D22">
        <v>77</v>
      </c>
      <c r="E22" s="2">
        <v>0.6875</v>
      </c>
      <c r="F22" s="2">
        <v>0.57950000000000002</v>
      </c>
      <c r="G22" s="2">
        <v>0.58620000000000005</v>
      </c>
      <c r="H22" s="2">
        <v>1E-4</v>
      </c>
      <c r="I22" s="2">
        <v>0.25590000000000002</v>
      </c>
      <c r="J22" s="2">
        <v>8.5000000000000006E-3</v>
      </c>
      <c r="K22" s="2">
        <v>0</v>
      </c>
      <c r="L22" s="2">
        <v>0.13569999999999999</v>
      </c>
      <c r="M22" s="2">
        <v>1.3599999999999999E-2</v>
      </c>
      <c r="N22">
        <v>2</v>
      </c>
      <c r="O22">
        <v>0</v>
      </c>
      <c r="P22">
        <v>0</v>
      </c>
      <c r="Q22">
        <v>0</v>
      </c>
    </row>
    <row r="23" spans="1:17" x14ac:dyDescent="0.25">
      <c r="A23" t="s">
        <v>22</v>
      </c>
      <c r="B23" s="1">
        <v>0.34553240740740737</v>
      </c>
      <c r="C23" s="1">
        <v>0.20821759259259257</v>
      </c>
      <c r="D23">
        <v>76</v>
      </c>
      <c r="E23" s="2">
        <v>0.69910000000000005</v>
      </c>
      <c r="F23" s="2">
        <v>0.58830000000000005</v>
      </c>
      <c r="G23" s="2">
        <v>0.58989999999999998</v>
      </c>
      <c r="H23" s="2">
        <v>1E-4</v>
      </c>
      <c r="I23" s="2">
        <v>0.25469999999999998</v>
      </c>
      <c r="J23" s="2">
        <v>1.26E-2</v>
      </c>
      <c r="K23" s="2">
        <v>0</v>
      </c>
      <c r="L23" s="2">
        <v>0.14019999999999999</v>
      </c>
      <c r="M23" s="2">
        <v>2.5000000000000001E-3</v>
      </c>
      <c r="N23">
        <v>3</v>
      </c>
      <c r="O23">
        <v>1</v>
      </c>
      <c r="P23">
        <v>0</v>
      </c>
      <c r="Q23">
        <v>0</v>
      </c>
    </row>
    <row r="24" spans="1:17" x14ac:dyDescent="0.25">
      <c r="A24" t="s">
        <v>23</v>
      </c>
      <c r="B24" s="1">
        <v>0.32064814814814818</v>
      </c>
      <c r="C24" s="1">
        <v>0.17288194444444446</v>
      </c>
      <c r="D24">
        <v>75</v>
      </c>
      <c r="E24" s="2">
        <v>0.74890000000000001</v>
      </c>
      <c r="F24" s="2">
        <v>0.4627</v>
      </c>
      <c r="G24" s="2">
        <v>0.46529999999999999</v>
      </c>
      <c r="H24" s="2">
        <v>4.4000000000000003E-3</v>
      </c>
      <c r="I24" s="2">
        <v>0.1762</v>
      </c>
      <c r="J24" s="2">
        <v>6.9400000000000003E-2</v>
      </c>
      <c r="K24" s="2">
        <v>0</v>
      </c>
      <c r="L24" s="2">
        <v>0.28220000000000001</v>
      </c>
      <c r="M24" s="2">
        <v>2.3999999999999998E-3</v>
      </c>
      <c r="N24">
        <v>1</v>
      </c>
      <c r="O24">
        <v>7</v>
      </c>
      <c r="P24">
        <v>1</v>
      </c>
      <c r="Q24">
        <v>0</v>
      </c>
    </row>
    <row r="25" spans="1:17" x14ac:dyDescent="0.25">
      <c r="A25" t="s">
        <v>24</v>
      </c>
      <c r="B25" s="1">
        <v>0.34032407407407406</v>
      </c>
      <c r="C25" s="1">
        <v>0.17644675925925926</v>
      </c>
      <c r="D25">
        <v>74</v>
      </c>
      <c r="E25" s="2">
        <v>0.70779999999999998</v>
      </c>
      <c r="F25" s="2">
        <v>0.47799999999999998</v>
      </c>
      <c r="G25" s="2">
        <v>0.49659999999999999</v>
      </c>
      <c r="H25" s="2">
        <v>1.1999999999999999E-3</v>
      </c>
      <c r="I25" s="2">
        <v>0.21</v>
      </c>
      <c r="J25" s="2">
        <v>2.07E-2</v>
      </c>
      <c r="K25" s="2">
        <v>0</v>
      </c>
      <c r="L25" s="2">
        <v>0.26790000000000003</v>
      </c>
      <c r="M25" s="2">
        <v>3.5999999999999999E-3</v>
      </c>
      <c r="N25">
        <v>1</v>
      </c>
      <c r="O25">
        <v>2</v>
      </c>
      <c r="P25">
        <v>0</v>
      </c>
      <c r="Q25">
        <v>1</v>
      </c>
    </row>
    <row r="26" spans="1:17" x14ac:dyDescent="0.25">
      <c r="A26" t="s">
        <v>25</v>
      </c>
      <c r="B26" s="1">
        <v>0.34328703703703706</v>
      </c>
      <c r="C26" s="1">
        <v>0.22703703703703704</v>
      </c>
      <c r="D26">
        <v>73</v>
      </c>
      <c r="E26" s="2">
        <v>0.76300000000000001</v>
      </c>
      <c r="F26" s="2">
        <v>0.5998</v>
      </c>
      <c r="G26" s="2">
        <v>0.6018</v>
      </c>
      <c r="H26" s="2">
        <v>1.49E-2</v>
      </c>
      <c r="I26" s="2">
        <v>0.1711</v>
      </c>
      <c r="J26" s="2">
        <v>4.4600000000000001E-2</v>
      </c>
      <c r="K26" s="2">
        <v>0</v>
      </c>
      <c r="L26" s="2">
        <v>0.14749999999999999</v>
      </c>
      <c r="M26" s="2">
        <v>2.01E-2</v>
      </c>
      <c r="N26">
        <v>1</v>
      </c>
      <c r="O26">
        <v>4</v>
      </c>
      <c r="P26">
        <v>1</v>
      </c>
      <c r="Q26">
        <v>1</v>
      </c>
    </row>
    <row r="27" spans="1:17" x14ac:dyDescent="0.25">
      <c r="A27" t="s">
        <v>26</v>
      </c>
      <c r="B27" s="1">
        <v>0.31663194444444448</v>
      </c>
      <c r="C27" s="1">
        <v>0.21199074074074076</v>
      </c>
      <c r="D27">
        <v>72</v>
      </c>
      <c r="E27" s="2">
        <v>0.7147</v>
      </c>
      <c r="F27" s="2">
        <v>0.65029999999999999</v>
      </c>
      <c r="G27" s="2">
        <v>0.65100000000000002</v>
      </c>
      <c r="H27" s="2">
        <v>0</v>
      </c>
      <c r="I27" s="2">
        <v>0.25790000000000002</v>
      </c>
      <c r="J27" s="2">
        <v>1.8499999999999999E-2</v>
      </c>
      <c r="K27" s="2">
        <v>0</v>
      </c>
      <c r="L27" s="2">
        <v>6.6900000000000001E-2</v>
      </c>
      <c r="M27" s="2">
        <v>5.7000000000000002E-3</v>
      </c>
      <c r="N27">
        <v>1</v>
      </c>
      <c r="O27">
        <v>3</v>
      </c>
      <c r="P27">
        <v>0</v>
      </c>
      <c r="Q27">
        <v>0</v>
      </c>
    </row>
    <row r="28" spans="1:17" x14ac:dyDescent="0.25">
      <c r="A28" t="s">
        <v>27</v>
      </c>
      <c r="B28" s="1">
        <v>0.34512731481481485</v>
      </c>
      <c r="C28" s="1">
        <v>0.20607638888888888</v>
      </c>
      <c r="D28">
        <v>71</v>
      </c>
      <c r="E28" s="2">
        <v>0.69469999999999998</v>
      </c>
      <c r="F28" s="2">
        <v>0.55000000000000004</v>
      </c>
      <c r="G28" s="2">
        <v>0.57440000000000002</v>
      </c>
      <c r="H28" s="2">
        <v>1.23E-2</v>
      </c>
      <c r="I28" s="2">
        <v>0.25280000000000002</v>
      </c>
      <c r="J28" s="2">
        <v>1.04E-2</v>
      </c>
      <c r="K28" s="2">
        <v>0</v>
      </c>
      <c r="L28" s="2">
        <v>0.14419999999999999</v>
      </c>
      <c r="M28" s="2">
        <v>5.8999999999999999E-3</v>
      </c>
      <c r="N28">
        <v>1</v>
      </c>
      <c r="O28">
        <v>0</v>
      </c>
      <c r="P28">
        <v>5</v>
      </c>
      <c r="Q28">
        <v>0</v>
      </c>
    </row>
    <row r="29" spans="1:17" x14ac:dyDescent="0.25">
      <c r="A29" t="s">
        <v>28</v>
      </c>
      <c r="B29" s="1">
        <v>0.34297453703703701</v>
      </c>
      <c r="C29" s="1">
        <v>0.21273148148148147</v>
      </c>
      <c r="D29">
        <v>70</v>
      </c>
      <c r="E29" s="2">
        <v>0.72209999999999996</v>
      </c>
      <c r="F29" s="2">
        <v>0.51329999999999998</v>
      </c>
      <c r="G29" s="2">
        <v>0.54390000000000005</v>
      </c>
      <c r="H29" s="2">
        <v>7.9000000000000008E-3</v>
      </c>
      <c r="I29" s="2">
        <v>0.23200000000000001</v>
      </c>
      <c r="J29" s="2">
        <v>6.8400000000000002E-2</v>
      </c>
      <c r="K29" s="2">
        <v>0</v>
      </c>
      <c r="L29" s="2">
        <v>0.14180000000000001</v>
      </c>
      <c r="M29" s="2">
        <v>5.8999999999999999E-3</v>
      </c>
      <c r="N29">
        <v>0</v>
      </c>
      <c r="O29">
        <v>11</v>
      </c>
      <c r="P29">
        <v>1</v>
      </c>
      <c r="Q29">
        <v>1</v>
      </c>
    </row>
    <row r="30" spans="1:17" x14ac:dyDescent="0.25">
      <c r="A30" t="s">
        <v>29</v>
      </c>
      <c r="B30" s="1">
        <v>0.34387731481481482</v>
      </c>
      <c r="C30" s="1">
        <v>0.17480324074074075</v>
      </c>
      <c r="D30">
        <v>69</v>
      </c>
      <c r="E30" s="2">
        <v>0.76100000000000001</v>
      </c>
      <c r="F30" s="2">
        <v>0.436</v>
      </c>
      <c r="G30" s="2">
        <v>0.44979999999999998</v>
      </c>
      <c r="H30" s="2">
        <v>4.3E-3</v>
      </c>
      <c r="I30" s="2">
        <v>0.15679999999999999</v>
      </c>
      <c r="J30" s="2">
        <v>5.4199999999999998E-2</v>
      </c>
      <c r="K30" s="2">
        <v>0</v>
      </c>
      <c r="L30" s="2">
        <v>0.33289999999999997</v>
      </c>
      <c r="M30" s="2">
        <v>1.9E-3</v>
      </c>
      <c r="N30">
        <v>1</v>
      </c>
      <c r="O30">
        <v>11</v>
      </c>
      <c r="P30">
        <v>2</v>
      </c>
      <c r="Q30">
        <v>0</v>
      </c>
    </row>
    <row r="31" spans="1:17" x14ac:dyDescent="0.25">
      <c r="A31" t="s">
        <v>30</v>
      </c>
      <c r="B31" s="1">
        <v>0.31069444444444444</v>
      </c>
      <c r="C31" s="1">
        <v>0.1912962962962963</v>
      </c>
      <c r="D31">
        <v>68</v>
      </c>
      <c r="E31" s="2">
        <v>0.7036</v>
      </c>
      <c r="F31" s="2">
        <v>0.52949999999999997</v>
      </c>
      <c r="G31" s="2">
        <v>0.54120000000000001</v>
      </c>
      <c r="H31" s="2">
        <v>1.8100000000000002E-2</v>
      </c>
      <c r="I31" s="2">
        <v>0.19869999999999999</v>
      </c>
      <c r="J31" s="2">
        <v>5.6399999999999999E-2</v>
      </c>
      <c r="K31" s="2">
        <v>0</v>
      </c>
      <c r="L31" s="2">
        <v>0.17960000000000001</v>
      </c>
      <c r="M31" s="2">
        <v>6.0000000000000001E-3</v>
      </c>
      <c r="N31">
        <v>5</v>
      </c>
      <c r="O31">
        <v>5</v>
      </c>
      <c r="P31">
        <v>3</v>
      </c>
      <c r="Q31">
        <v>1</v>
      </c>
    </row>
    <row r="32" spans="1:17" x14ac:dyDescent="0.25">
      <c r="A32" t="s">
        <v>31</v>
      </c>
      <c r="B32" s="1">
        <v>0.33329861111111109</v>
      </c>
      <c r="C32" s="1">
        <v>0.21824074074074074</v>
      </c>
      <c r="D32">
        <v>67</v>
      </c>
      <c r="E32" s="2">
        <v>0.76490000000000002</v>
      </c>
      <c r="F32" s="2">
        <v>0.5645</v>
      </c>
      <c r="G32" s="2">
        <v>0.58660000000000001</v>
      </c>
      <c r="H32" s="2">
        <v>3.5999999999999999E-3</v>
      </c>
      <c r="I32" s="2">
        <v>0.18920000000000001</v>
      </c>
      <c r="J32" s="2">
        <v>6.4600000000000005E-2</v>
      </c>
      <c r="K32" s="2">
        <v>0</v>
      </c>
      <c r="L32" s="2">
        <v>0.14430000000000001</v>
      </c>
      <c r="M32" s="2">
        <v>1.17E-2</v>
      </c>
      <c r="N32">
        <v>0</v>
      </c>
      <c r="O32">
        <v>9</v>
      </c>
      <c r="P32">
        <v>1</v>
      </c>
      <c r="Q32">
        <v>1</v>
      </c>
    </row>
    <row r="33" spans="1:17" x14ac:dyDescent="0.25">
      <c r="A33" t="s">
        <v>32</v>
      </c>
      <c r="B33" s="1">
        <v>0.34564814814814815</v>
      </c>
      <c r="C33" s="1">
        <v>0.21184027777777778</v>
      </c>
      <c r="D33">
        <v>66</v>
      </c>
      <c r="E33" s="2">
        <v>0.82689999999999997</v>
      </c>
      <c r="F33" s="2">
        <v>0.49790000000000001</v>
      </c>
      <c r="G33" s="2">
        <v>0.51359999999999995</v>
      </c>
      <c r="H33" s="2">
        <v>3.3E-3</v>
      </c>
      <c r="I33" s="2">
        <v>0.1237</v>
      </c>
      <c r="J33" s="2">
        <v>9.6000000000000002E-2</v>
      </c>
      <c r="K33" s="2">
        <v>0</v>
      </c>
      <c r="L33" s="2">
        <v>0.2596</v>
      </c>
      <c r="M33" s="2">
        <v>3.8E-3</v>
      </c>
      <c r="N33">
        <v>1</v>
      </c>
      <c r="O33">
        <v>15</v>
      </c>
      <c r="P33">
        <v>1</v>
      </c>
      <c r="Q33">
        <v>0</v>
      </c>
    </row>
    <row r="34" spans="1:17" x14ac:dyDescent="0.25">
      <c r="A34" t="s">
        <v>33</v>
      </c>
      <c r="B34" s="1">
        <v>0.34664351851851855</v>
      </c>
      <c r="C34" s="1">
        <v>0.20781249999999998</v>
      </c>
      <c r="D34">
        <v>65</v>
      </c>
      <c r="E34" s="2">
        <v>0.69530000000000003</v>
      </c>
      <c r="F34" s="2">
        <v>0.56269999999999998</v>
      </c>
      <c r="G34" s="2">
        <v>0.57620000000000005</v>
      </c>
      <c r="H34" s="2">
        <v>1.4E-3</v>
      </c>
      <c r="I34" s="2">
        <v>0.2397</v>
      </c>
      <c r="J34" s="2">
        <v>2.1899999999999999E-2</v>
      </c>
      <c r="K34" s="2">
        <v>0</v>
      </c>
      <c r="L34" s="2">
        <v>0.13830000000000001</v>
      </c>
      <c r="M34" s="2">
        <v>2.2499999999999999E-2</v>
      </c>
      <c r="N34">
        <v>2</v>
      </c>
      <c r="O34">
        <v>1</v>
      </c>
      <c r="P34">
        <v>0</v>
      </c>
      <c r="Q34">
        <v>0</v>
      </c>
    </row>
    <row r="35" spans="1:17" x14ac:dyDescent="0.25">
      <c r="A35" t="s">
        <v>34</v>
      </c>
      <c r="B35" s="1">
        <v>0.34471064814814811</v>
      </c>
      <c r="C35" s="1">
        <v>0.20981481481481482</v>
      </c>
      <c r="D35">
        <v>64</v>
      </c>
      <c r="E35" s="2">
        <v>0.70569999999999999</v>
      </c>
      <c r="F35" s="2">
        <v>0.57679999999999998</v>
      </c>
      <c r="G35" s="2">
        <v>0.58599999999999997</v>
      </c>
      <c r="H35" s="2">
        <v>1E-4</v>
      </c>
      <c r="I35" s="2">
        <v>0.2457</v>
      </c>
      <c r="J35" s="2">
        <v>2.2599999999999999E-2</v>
      </c>
      <c r="K35" s="2">
        <v>0</v>
      </c>
      <c r="L35" s="2">
        <v>0.1409</v>
      </c>
      <c r="M35" s="2">
        <v>4.7000000000000002E-3</v>
      </c>
      <c r="N35">
        <v>2</v>
      </c>
      <c r="O35">
        <v>2</v>
      </c>
      <c r="P35">
        <v>0</v>
      </c>
      <c r="Q35">
        <v>0</v>
      </c>
    </row>
    <row r="36" spans="1:17" x14ac:dyDescent="0.25">
      <c r="A36" t="s">
        <v>35</v>
      </c>
      <c r="B36" s="1">
        <v>0.31923611111111111</v>
      </c>
      <c r="C36" s="1">
        <v>0.18953703703703703</v>
      </c>
      <c r="D36">
        <v>63</v>
      </c>
      <c r="E36" s="2">
        <v>0.7288</v>
      </c>
      <c r="F36" s="2">
        <v>0.55730000000000002</v>
      </c>
      <c r="G36" s="2">
        <v>0.5776</v>
      </c>
      <c r="H36" s="2">
        <v>6.9999999999999999E-4</v>
      </c>
      <c r="I36" s="2">
        <v>0.20380000000000001</v>
      </c>
      <c r="J36" s="2">
        <v>1.54E-2</v>
      </c>
      <c r="K36" s="2">
        <v>0</v>
      </c>
      <c r="L36" s="2">
        <v>0.1918</v>
      </c>
      <c r="M36" s="2">
        <v>1.0699999999999999E-2</v>
      </c>
      <c r="N36">
        <v>2</v>
      </c>
      <c r="O36">
        <v>1</v>
      </c>
      <c r="P36">
        <v>0</v>
      </c>
      <c r="Q36">
        <v>0</v>
      </c>
    </row>
    <row r="37" spans="1:17" x14ac:dyDescent="0.25">
      <c r="A37" t="s">
        <v>36</v>
      </c>
      <c r="B37" s="1">
        <v>0.34128472222222223</v>
      </c>
      <c r="C37" s="1">
        <v>0.17200231481481479</v>
      </c>
      <c r="D37">
        <v>62</v>
      </c>
      <c r="E37" s="2">
        <v>0.73570000000000002</v>
      </c>
      <c r="F37" s="2">
        <v>0.47589999999999999</v>
      </c>
      <c r="G37" s="2">
        <v>0.48970000000000002</v>
      </c>
      <c r="H37" s="2">
        <v>5.9999999999999995E-4</v>
      </c>
      <c r="I37" s="2">
        <v>0.17599999999999999</v>
      </c>
      <c r="J37" s="2">
        <v>1.37E-2</v>
      </c>
      <c r="K37" s="2">
        <v>0</v>
      </c>
      <c r="L37" s="2">
        <v>0.31580000000000003</v>
      </c>
      <c r="M37" s="2">
        <v>4.1999999999999997E-3</v>
      </c>
      <c r="N37">
        <v>1</v>
      </c>
      <c r="O37">
        <v>1</v>
      </c>
      <c r="P37">
        <v>0</v>
      </c>
      <c r="Q37">
        <v>0</v>
      </c>
    </row>
    <row r="38" spans="1:17" x14ac:dyDescent="0.25">
      <c r="A38" t="s">
        <v>37</v>
      </c>
      <c r="B38" s="1">
        <v>0.34012731481481479</v>
      </c>
      <c r="C38" s="1">
        <v>0.20243055555555556</v>
      </c>
      <c r="D38">
        <v>61</v>
      </c>
      <c r="E38" s="2">
        <v>0.69340000000000002</v>
      </c>
      <c r="F38" s="2">
        <v>0.55640000000000001</v>
      </c>
      <c r="G38" s="2">
        <v>0.57099999999999995</v>
      </c>
      <c r="H38" s="2">
        <v>0</v>
      </c>
      <c r="I38" s="2">
        <v>0.25919999999999999</v>
      </c>
      <c r="J38" s="2">
        <v>2.41E-2</v>
      </c>
      <c r="K38" s="2">
        <v>0</v>
      </c>
      <c r="L38" s="2">
        <v>0.1421</v>
      </c>
      <c r="M38" s="2">
        <v>3.5000000000000001E-3</v>
      </c>
      <c r="N38">
        <v>2</v>
      </c>
      <c r="O38">
        <v>3</v>
      </c>
      <c r="P38">
        <v>0</v>
      </c>
      <c r="Q38">
        <v>0</v>
      </c>
    </row>
    <row r="39" spans="1:17" x14ac:dyDescent="0.25">
      <c r="A39" t="s">
        <v>38</v>
      </c>
      <c r="B39" s="1">
        <v>0.3442824074074074</v>
      </c>
      <c r="C39" s="1">
        <v>0.20569444444444443</v>
      </c>
      <c r="D39">
        <v>60</v>
      </c>
      <c r="E39" s="2">
        <v>0.69530000000000003</v>
      </c>
      <c r="F39" s="2">
        <v>0.52800000000000002</v>
      </c>
      <c r="G39" s="2">
        <v>0.54339999999999999</v>
      </c>
      <c r="H39" s="2">
        <v>3.5000000000000001E-3</v>
      </c>
      <c r="I39" s="2">
        <v>0.25669999999999998</v>
      </c>
      <c r="J39" s="2">
        <v>5.0500000000000003E-2</v>
      </c>
      <c r="K39" s="2">
        <v>0</v>
      </c>
      <c r="L39" s="2">
        <v>0.14269999999999999</v>
      </c>
      <c r="M39" s="2">
        <v>3.2000000000000002E-3</v>
      </c>
      <c r="N39">
        <v>1</v>
      </c>
      <c r="O39">
        <v>11</v>
      </c>
      <c r="P39">
        <v>1</v>
      </c>
      <c r="Q39">
        <v>0</v>
      </c>
    </row>
    <row r="40" spans="1:17" x14ac:dyDescent="0.25">
      <c r="A40" t="s">
        <v>39</v>
      </c>
      <c r="B40" s="1">
        <v>0.3439699074074074</v>
      </c>
      <c r="C40" s="1">
        <v>0.20620370370370369</v>
      </c>
      <c r="D40">
        <v>59</v>
      </c>
      <c r="E40" s="2">
        <v>0.69740000000000002</v>
      </c>
      <c r="F40" s="2">
        <v>0.56499999999999995</v>
      </c>
      <c r="G40" s="2">
        <v>0.57509999999999994</v>
      </c>
      <c r="H40" s="2">
        <v>1E-4</v>
      </c>
      <c r="I40" s="2">
        <v>0.25440000000000002</v>
      </c>
      <c r="J40" s="2">
        <v>2.4299999999999999E-2</v>
      </c>
      <c r="K40" s="2">
        <v>0</v>
      </c>
      <c r="L40" s="2">
        <v>0.14219999999999999</v>
      </c>
      <c r="M40" s="2">
        <v>3.8999999999999998E-3</v>
      </c>
      <c r="N40">
        <v>1</v>
      </c>
      <c r="O40">
        <v>4</v>
      </c>
      <c r="P40">
        <v>0</v>
      </c>
      <c r="Q40">
        <v>0</v>
      </c>
    </row>
    <row r="41" spans="1:17" x14ac:dyDescent="0.25">
      <c r="A41" t="s">
        <v>40</v>
      </c>
      <c r="B41" s="1">
        <v>0.34541666666666665</v>
      </c>
      <c r="C41" s="1">
        <v>0.22590277777777779</v>
      </c>
      <c r="D41">
        <v>58</v>
      </c>
      <c r="E41" s="2">
        <v>0.76119999999999999</v>
      </c>
      <c r="F41" s="2">
        <v>0.48580000000000001</v>
      </c>
      <c r="G41" s="2">
        <v>0.51600000000000001</v>
      </c>
      <c r="H41" s="2">
        <v>1E-3</v>
      </c>
      <c r="I41" s="2">
        <v>0.2016</v>
      </c>
      <c r="J41" s="2">
        <v>0.13700000000000001</v>
      </c>
      <c r="K41" s="2">
        <v>0</v>
      </c>
      <c r="L41" s="2">
        <v>0.1411</v>
      </c>
      <c r="M41" s="2">
        <v>3.3E-3</v>
      </c>
      <c r="N41">
        <v>1</v>
      </c>
      <c r="O41">
        <v>3</v>
      </c>
      <c r="P41">
        <v>0</v>
      </c>
      <c r="Q41">
        <v>1</v>
      </c>
    </row>
    <row r="42" spans="1:17" x14ac:dyDescent="0.25">
      <c r="A42" t="s">
        <v>41</v>
      </c>
      <c r="B42" s="1">
        <v>0.34445601851851854</v>
      </c>
      <c r="C42" s="1">
        <v>0.20725694444444445</v>
      </c>
      <c r="D42">
        <v>57</v>
      </c>
      <c r="E42" s="2">
        <v>0.69499999999999995</v>
      </c>
      <c r="F42" s="2">
        <v>0.57230000000000003</v>
      </c>
      <c r="G42" s="2">
        <v>0.58420000000000005</v>
      </c>
      <c r="H42" s="2">
        <v>0</v>
      </c>
      <c r="I42" s="2">
        <v>0.24079999999999999</v>
      </c>
      <c r="J42" s="2">
        <v>1.7500000000000002E-2</v>
      </c>
      <c r="K42" s="2">
        <v>0</v>
      </c>
      <c r="L42" s="2">
        <v>0.13639999999999999</v>
      </c>
      <c r="M42" s="2">
        <v>2.1100000000000001E-2</v>
      </c>
      <c r="N42">
        <v>3</v>
      </c>
      <c r="O42">
        <v>1</v>
      </c>
      <c r="P42">
        <v>0</v>
      </c>
      <c r="Q42">
        <v>0</v>
      </c>
    </row>
    <row r="43" spans="1:17" x14ac:dyDescent="0.25">
      <c r="A43" t="s">
        <v>42</v>
      </c>
      <c r="B43" s="1">
        <v>0.33342592592592596</v>
      </c>
      <c r="C43" s="1">
        <v>0.16271990740740741</v>
      </c>
      <c r="D43">
        <v>56</v>
      </c>
      <c r="E43" s="2">
        <v>0.6966</v>
      </c>
      <c r="F43" s="2">
        <v>0.46539999999999998</v>
      </c>
      <c r="G43" s="2">
        <v>0.47489999999999999</v>
      </c>
      <c r="H43" s="2">
        <v>3.0000000000000001E-3</v>
      </c>
      <c r="I43" s="2">
        <v>0.20760000000000001</v>
      </c>
      <c r="J43" s="2">
        <v>1.01E-2</v>
      </c>
      <c r="K43" s="2">
        <v>0</v>
      </c>
      <c r="L43" s="2">
        <v>0.30180000000000001</v>
      </c>
      <c r="M43" s="2">
        <v>2.5999999999999999E-3</v>
      </c>
      <c r="N43">
        <v>1</v>
      </c>
      <c r="O43">
        <v>1</v>
      </c>
      <c r="P43">
        <v>1</v>
      </c>
      <c r="Q43">
        <v>2</v>
      </c>
    </row>
    <row r="44" spans="1:17" x14ac:dyDescent="0.25">
      <c r="A44" t="s">
        <v>43</v>
      </c>
      <c r="B44" s="1">
        <v>0.2094560185185185</v>
      </c>
      <c r="C44" s="1">
        <v>0.13993055555555556</v>
      </c>
      <c r="D44">
        <v>55</v>
      </c>
      <c r="E44" s="2">
        <v>0.70269999999999999</v>
      </c>
      <c r="F44" s="2">
        <v>0.64380000000000004</v>
      </c>
      <c r="G44" s="2">
        <v>0.65600000000000003</v>
      </c>
      <c r="H44" s="2">
        <v>2.0000000000000001E-4</v>
      </c>
      <c r="I44" s="2">
        <v>0.27950000000000003</v>
      </c>
      <c r="J44" s="2">
        <v>1.18E-2</v>
      </c>
      <c r="K44" s="2">
        <v>0</v>
      </c>
      <c r="L44" s="2">
        <v>4.9700000000000001E-2</v>
      </c>
      <c r="M44" s="2">
        <v>2.7000000000000001E-3</v>
      </c>
      <c r="N44">
        <v>1</v>
      </c>
      <c r="O44">
        <v>0</v>
      </c>
      <c r="P44">
        <v>0</v>
      </c>
      <c r="Q44">
        <v>0</v>
      </c>
    </row>
    <row r="45" spans="1:17" x14ac:dyDescent="0.25">
      <c r="A45" t="s">
        <v>44</v>
      </c>
      <c r="B45" s="1">
        <v>0.35192129629629632</v>
      </c>
      <c r="C45" s="1">
        <v>0.22140046296296298</v>
      </c>
      <c r="D45">
        <v>54</v>
      </c>
      <c r="E45" s="2">
        <v>0.72360000000000002</v>
      </c>
      <c r="F45" s="2">
        <v>0.57350000000000001</v>
      </c>
      <c r="G45" s="2">
        <v>0.58709999999999996</v>
      </c>
      <c r="H45" s="2">
        <v>8.9999999999999998E-4</v>
      </c>
      <c r="I45" s="2">
        <v>0.23119999999999999</v>
      </c>
      <c r="J45" s="2">
        <v>4.1099999999999998E-2</v>
      </c>
      <c r="K45" s="2">
        <v>0</v>
      </c>
      <c r="L45" s="2">
        <v>0.1376</v>
      </c>
      <c r="M45" s="2">
        <v>2E-3</v>
      </c>
      <c r="N45">
        <v>7</v>
      </c>
      <c r="O45">
        <v>6</v>
      </c>
      <c r="P45">
        <v>0</v>
      </c>
      <c r="Q45">
        <v>0</v>
      </c>
    </row>
    <row r="46" spans="1:17" x14ac:dyDescent="0.25">
      <c r="A46" t="s">
        <v>45</v>
      </c>
      <c r="B46" s="1">
        <v>0.32876157407407408</v>
      </c>
      <c r="C46" s="1">
        <v>0.22660879629629629</v>
      </c>
      <c r="D46">
        <v>53</v>
      </c>
      <c r="E46" s="2">
        <v>0.78</v>
      </c>
      <c r="F46" s="2">
        <v>0.6472</v>
      </c>
      <c r="G46" s="2">
        <v>0.67100000000000004</v>
      </c>
      <c r="H46" s="2">
        <v>2.0999999999999999E-3</v>
      </c>
      <c r="I46" s="2">
        <v>0.17810000000000001</v>
      </c>
      <c r="J46" s="2">
        <v>1.61E-2</v>
      </c>
      <c r="K46" s="2">
        <v>0</v>
      </c>
      <c r="L46" s="2">
        <v>0.11899999999999999</v>
      </c>
      <c r="M46" s="2">
        <v>1.38E-2</v>
      </c>
      <c r="N46">
        <v>3</v>
      </c>
      <c r="O46">
        <v>2</v>
      </c>
      <c r="P46">
        <v>1</v>
      </c>
      <c r="Q46">
        <v>2</v>
      </c>
    </row>
    <row r="47" spans="1:17" x14ac:dyDescent="0.25">
      <c r="A47" t="s">
        <v>46</v>
      </c>
      <c r="B47" s="1">
        <v>0.33435185185185184</v>
      </c>
      <c r="C47" s="1">
        <v>0.17586805555555554</v>
      </c>
      <c r="D47">
        <v>52</v>
      </c>
      <c r="E47" s="2">
        <v>0.72040000000000004</v>
      </c>
      <c r="F47" s="2">
        <v>0.50439999999999996</v>
      </c>
      <c r="G47" s="2">
        <v>0.51129999999999998</v>
      </c>
      <c r="H47" s="2">
        <v>6.0000000000000001E-3</v>
      </c>
      <c r="I47" s="2">
        <v>0.1978</v>
      </c>
      <c r="J47" s="2">
        <v>8.6999999999999994E-3</v>
      </c>
      <c r="K47" s="2">
        <v>0</v>
      </c>
      <c r="L47" s="2">
        <v>0.27079999999999999</v>
      </c>
      <c r="M47" s="2">
        <v>5.4000000000000003E-3</v>
      </c>
      <c r="N47">
        <v>3</v>
      </c>
      <c r="O47">
        <v>0</v>
      </c>
      <c r="P47">
        <v>1</v>
      </c>
      <c r="Q47">
        <v>0</v>
      </c>
    </row>
    <row r="48" spans="1:17" x14ac:dyDescent="0.25">
      <c r="A48" t="s">
        <v>47</v>
      </c>
      <c r="B48" s="1">
        <v>0.34831018518518514</v>
      </c>
      <c r="C48" s="1">
        <v>0.21436342592592594</v>
      </c>
      <c r="D48">
        <v>51</v>
      </c>
      <c r="E48" s="2">
        <v>0.71389999999999998</v>
      </c>
      <c r="F48" s="2">
        <v>0.55279999999999996</v>
      </c>
      <c r="G48" s="2">
        <v>0.56730000000000003</v>
      </c>
      <c r="H48" s="2">
        <v>5.0000000000000001E-3</v>
      </c>
      <c r="I48" s="2">
        <v>0.23930000000000001</v>
      </c>
      <c r="J48" s="2">
        <v>4.3099999999999999E-2</v>
      </c>
      <c r="K48" s="2">
        <v>0</v>
      </c>
      <c r="L48" s="2">
        <v>0.13850000000000001</v>
      </c>
      <c r="M48" s="2">
        <v>6.7000000000000002E-3</v>
      </c>
      <c r="N48">
        <v>5</v>
      </c>
      <c r="O48">
        <v>8</v>
      </c>
      <c r="P48">
        <v>2</v>
      </c>
      <c r="Q48">
        <v>0</v>
      </c>
    </row>
    <row r="49" spans="1:17" x14ac:dyDescent="0.25">
      <c r="A49" t="s">
        <v>48</v>
      </c>
      <c r="B49" s="1">
        <v>0.34407407407407403</v>
      </c>
      <c r="C49" s="1">
        <v>0.19798611111111111</v>
      </c>
      <c r="D49">
        <v>50</v>
      </c>
      <c r="E49" s="2">
        <v>0.66949999999999998</v>
      </c>
      <c r="F49" s="2">
        <v>0.55489999999999995</v>
      </c>
      <c r="G49" s="2">
        <v>0.56530000000000002</v>
      </c>
      <c r="H49" s="2">
        <v>2.0000000000000001E-4</v>
      </c>
      <c r="I49" s="2">
        <v>0.28079999999999999</v>
      </c>
      <c r="J49" s="2">
        <v>9.9000000000000008E-3</v>
      </c>
      <c r="K49" s="2">
        <v>0</v>
      </c>
      <c r="L49" s="2">
        <v>0.14080000000000001</v>
      </c>
      <c r="M49" s="2">
        <v>3.0000000000000001E-3</v>
      </c>
      <c r="N49">
        <v>3</v>
      </c>
      <c r="O49">
        <v>0</v>
      </c>
      <c r="P49">
        <v>0</v>
      </c>
      <c r="Q49">
        <v>0</v>
      </c>
    </row>
    <row r="50" spans="1:17" x14ac:dyDescent="0.25">
      <c r="A50" t="s">
        <v>49</v>
      </c>
      <c r="B50" s="1">
        <v>0.33285879629629628</v>
      </c>
      <c r="C50" s="1">
        <v>0.19598379629629628</v>
      </c>
      <c r="D50">
        <v>49</v>
      </c>
      <c r="E50" s="2">
        <v>0.6895</v>
      </c>
      <c r="F50" s="2">
        <v>0.55220000000000002</v>
      </c>
      <c r="G50" s="2">
        <v>0.55659999999999998</v>
      </c>
      <c r="H50" s="2">
        <v>0</v>
      </c>
      <c r="I50" s="2">
        <v>0.26219999999999999</v>
      </c>
      <c r="J50" s="2">
        <v>3.2199999999999999E-2</v>
      </c>
      <c r="K50" s="2">
        <v>0</v>
      </c>
      <c r="L50" s="2">
        <v>0.1464</v>
      </c>
      <c r="M50" s="2">
        <v>2.5000000000000001E-3</v>
      </c>
      <c r="N50">
        <v>0</v>
      </c>
      <c r="O50">
        <v>3</v>
      </c>
      <c r="P50">
        <v>0</v>
      </c>
      <c r="Q50">
        <v>2</v>
      </c>
    </row>
    <row r="51" spans="1:17" x14ac:dyDescent="0.25">
      <c r="A51" t="s">
        <v>50</v>
      </c>
      <c r="B51" s="1">
        <v>0.20570601851851852</v>
      </c>
      <c r="C51" s="1">
        <v>0.13252314814814814</v>
      </c>
      <c r="D51">
        <v>48</v>
      </c>
      <c r="E51" s="2">
        <v>0.67910000000000004</v>
      </c>
      <c r="F51" s="2">
        <v>0.58819999999999995</v>
      </c>
      <c r="G51" s="2">
        <v>0.61209999999999998</v>
      </c>
      <c r="H51" s="2">
        <v>1.12E-2</v>
      </c>
      <c r="I51" s="2">
        <v>0.28639999999999999</v>
      </c>
      <c r="J51" s="2">
        <v>2.1000000000000001E-2</v>
      </c>
      <c r="K51" s="2">
        <v>0</v>
      </c>
      <c r="L51" s="2">
        <v>6.13E-2</v>
      </c>
      <c r="M51" s="2">
        <v>8.0000000000000002E-3</v>
      </c>
      <c r="N51">
        <v>2</v>
      </c>
      <c r="O51">
        <v>2</v>
      </c>
      <c r="P51">
        <v>3</v>
      </c>
      <c r="Q51">
        <v>0</v>
      </c>
    </row>
    <row r="52" spans="1:17" x14ac:dyDescent="0.25">
      <c r="A52" t="s">
        <v>51</v>
      </c>
      <c r="B52" s="1">
        <v>0.32318287037037036</v>
      </c>
      <c r="C52" s="1">
        <v>0.19381944444444443</v>
      </c>
      <c r="D52">
        <v>47</v>
      </c>
      <c r="E52" s="2">
        <v>0.6734</v>
      </c>
      <c r="F52" s="2">
        <v>0.55530000000000002</v>
      </c>
      <c r="G52" s="2">
        <v>0.56330000000000002</v>
      </c>
      <c r="H52" s="2">
        <v>5.0000000000000001E-4</v>
      </c>
      <c r="I52" s="2">
        <v>0.23519999999999999</v>
      </c>
      <c r="J52" s="2">
        <v>3.5900000000000001E-2</v>
      </c>
      <c r="K52" s="2">
        <v>0</v>
      </c>
      <c r="L52" s="2">
        <v>0.16059999999999999</v>
      </c>
      <c r="M52" s="2">
        <v>4.4999999999999997E-3</v>
      </c>
      <c r="N52">
        <v>1</v>
      </c>
      <c r="O52">
        <v>6</v>
      </c>
      <c r="P52">
        <v>0</v>
      </c>
      <c r="Q52">
        <v>0</v>
      </c>
    </row>
    <row r="53" spans="1:17" x14ac:dyDescent="0.25">
      <c r="A53" t="s">
        <v>52</v>
      </c>
      <c r="B53" s="1">
        <v>0.33348379629629626</v>
      </c>
      <c r="C53" s="1">
        <v>0.19890046296296296</v>
      </c>
      <c r="D53">
        <v>46</v>
      </c>
      <c r="E53" s="2">
        <v>0.69810000000000005</v>
      </c>
      <c r="F53" s="2">
        <v>0.55820000000000003</v>
      </c>
      <c r="G53" s="2">
        <v>0.57889999999999997</v>
      </c>
      <c r="H53" s="2">
        <v>4.0000000000000002E-4</v>
      </c>
      <c r="I53" s="2">
        <v>0.25359999999999999</v>
      </c>
      <c r="J53" s="2">
        <v>1.72E-2</v>
      </c>
      <c r="K53" s="2">
        <v>0</v>
      </c>
      <c r="L53" s="2">
        <v>0.1459</v>
      </c>
      <c r="M53" s="2">
        <v>4.1000000000000003E-3</v>
      </c>
      <c r="N53">
        <v>2</v>
      </c>
      <c r="O53">
        <v>1</v>
      </c>
      <c r="P53">
        <v>0</v>
      </c>
      <c r="Q53">
        <v>0</v>
      </c>
    </row>
    <row r="54" spans="1:17" x14ac:dyDescent="0.25">
      <c r="A54" t="s">
        <v>53</v>
      </c>
      <c r="B54" s="1">
        <v>0.34015046296296297</v>
      </c>
      <c r="C54" s="1">
        <v>0.20222222222222222</v>
      </c>
      <c r="D54">
        <v>45</v>
      </c>
      <c r="E54" s="2">
        <v>0.69350000000000001</v>
      </c>
      <c r="F54" s="2">
        <v>0.53</v>
      </c>
      <c r="G54" s="2">
        <v>0.56510000000000005</v>
      </c>
      <c r="H54" s="2">
        <v>3.8E-3</v>
      </c>
      <c r="I54" s="2">
        <v>0.25590000000000002</v>
      </c>
      <c r="J54" s="2">
        <v>2.5000000000000001E-2</v>
      </c>
      <c r="K54" s="2">
        <v>0</v>
      </c>
      <c r="L54" s="2">
        <v>0.14319999999999999</v>
      </c>
      <c r="M54" s="2">
        <v>7.0000000000000001E-3</v>
      </c>
      <c r="N54">
        <v>1</v>
      </c>
      <c r="O54">
        <v>3</v>
      </c>
      <c r="P54">
        <v>1</v>
      </c>
      <c r="Q54">
        <v>1</v>
      </c>
    </row>
    <row r="55" spans="1:17" x14ac:dyDescent="0.25">
      <c r="A55" t="s">
        <v>54</v>
      </c>
      <c r="B55" s="1">
        <v>0.34311342592592592</v>
      </c>
      <c r="C55" s="1">
        <v>0.21112268518518518</v>
      </c>
      <c r="D55">
        <v>44</v>
      </c>
      <c r="E55" s="2">
        <v>0.71640000000000004</v>
      </c>
      <c r="F55" s="2">
        <v>0.5464</v>
      </c>
      <c r="G55" s="2">
        <v>0.55420000000000003</v>
      </c>
      <c r="H55" s="2">
        <v>1E-4</v>
      </c>
      <c r="I55" s="2">
        <v>0.23880000000000001</v>
      </c>
      <c r="J55" s="2">
        <v>6.0999999999999999E-2</v>
      </c>
      <c r="K55" s="2">
        <v>0</v>
      </c>
      <c r="L55" s="2">
        <v>0.14299999999999999</v>
      </c>
      <c r="M55" s="2">
        <v>2.8999999999999998E-3</v>
      </c>
      <c r="N55">
        <v>1</v>
      </c>
      <c r="O55">
        <v>9</v>
      </c>
      <c r="P55">
        <v>0</v>
      </c>
      <c r="Q55">
        <v>0</v>
      </c>
    </row>
    <row r="56" spans="1:17" x14ac:dyDescent="0.25">
      <c r="A56" t="s">
        <v>55</v>
      </c>
      <c r="B56" s="1">
        <v>0.32046296296296295</v>
      </c>
      <c r="C56" s="1">
        <v>0.18484953703703702</v>
      </c>
      <c r="D56">
        <v>43</v>
      </c>
      <c r="E56" s="2">
        <v>0.67959999999999998</v>
      </c>
      <c r="F56" s="2">
        <v>0.52849999999999997</v>
      </c>
      <c r="G56" s="2">
        <v>0.52849999999999997</v>
      </c>
      <c r="H56" s="2">
        <v>0</v>
      </c>
      <c r="I56" s="2">
        <v>0.26819999999999999</v>
      </c>
      <c r="J56" s="2">
        <v>4.8300000000000003E-2</v>
      </c>
      <c r="K56" s="2">
        <v>0</v>
      </c>
      <c r="L56" s="2">
        <v>0.15340000000000001</v>
      </c>
      <c r="M56" s="2">
        <v>1.6000000000000001E-3</v>
      </c>
      <c r="N56">
        <v>0</v>
      </c>
      <c r="O56">
        <v>7</v>
      </c>
      <c r="P56">
        <v>0</v>
      </c>
      <c r="Q56">
        <v>0</v>
      </c>
    </row>
    <row r="57" spans="1:17" x14ac:dyDescent="0.25">
      <c r="A57" t="s">
        <v>56</v>
      </c>
      <c r="B57" s="1">
        <v>0.33384259259259258</v>
      </c>
      <c r="C57" s="1">
        <v>0.1867824074074074</v>
      </c>
      <c r="D57">
        <v>42</v>
      </c>
      <c r="E57" s="2">
        <v>0.65449999999999997</v>
      </c>
      <c r="F57" s="2">
        <v>0.53280000000000005</v>
      </c>
      <c r="G57" s="2">
        <v>0.54420000000000002</v>
      </c>
      <c r="H57" s="2">
        <v>1E-4</v>
      </c>
      <c r="I57" s="2">
        <v>0.28770000000000001</v>
      </c>
      <c r="J57" s="2">
        <v>1.52E-2</v>
      </c>
      <c r="K57" s="2">
        <v>0</v>
      </c>
      <c r="L57" s="2">
        <v>0.1454</v>
      </c>
      <c r="M57" s="2">
        <v>7.4999999999999997E-3</v>
      </c>
      <c r="N57">
        <v>0</v>
      </c>
      <c r="O57">
        <v>1</v>
      </c>
      <c r="P57">
        <v>0</v>
      </c>
      <c r="Q57">
        <v>7</v>
      </c>
    </row>
    <row r="58" spans="1:17" x14ac:dyDescent="0.25">
      <c r="A58" t="s">
        <v>57</v>
      </c>
      <c r="B58" s="1">
        <v>0.33012731481481478</v>
      </c>
      <c r="C58" s="1">
        <v>0.18739583333333332</v>
      </c>
      <c r="D58">
        <v>41</v>
      </c>
      <c r="E58" s="2">
        <v>0.66539999999999999</v>
      </c>
      <c r="F58" s="2">
        <v>0.53149999999999997</v>
      </c>
      <c r="G58" s="2">
        <v>0.53790000000000004</v>
      </c>
      <c r="H58" s="2">
        <v>8.9999999999999998E-4</v>
      </c>
      <c r="I58" s="2">
        <v>0.2681</v>
      </c>
      <c r="J58" s="2">
        <v>2.8899999999999999E-2</v>
      </c>
      <c r="K58" s="2">
        <v>0</v>
      </c>
      <c r="L58" s="2">
        <v>0.1598</v>
      </c>
      <c r="M58" s="2">
        <v>4.4000000000000003E-3</v>
      </c>
      <c r="N58">
        <v>0</v>
      </c>
      <c r="O58">
        <v>1</v>
      </c>
      <c r="P58">
        <v>0</v>
      </c>
      <c r="Q58">
        <v>0</v>
      </c>
    </row>
    <row r="59" spans="1:17" x14ac:dyDescent="0.25">
      <c r="A59" t="s">
        <v>58</v>
      </c>
      <c r="B59" s="1">
        <v>0.34032407407407406</v>
      </c>
      <c r="C59" s="1">
        <v>0.21151620370370372</v>
      </c>
      <c r="D59">
        <v>40</v>
      </c>
      <c r="E59" s="2">
        <v>0.72450000000000003</v>
      </c>
      <c r="F59" s="2">
        <v>0.58950000000000002</v>
      </c>
      <c r="G59" s="2">
        <v>0.59760000000000002</v>
      </c>
      <c r="H59" s="2">
        <v>2.0000000000000001E-4</v>
      </c>
      <c r="I59" s="2">
        <v>0.21340000000000001</v>
      </c>
      <c r="J59" s="2">
        <v>2.3699999999999999E-2</v>
      </c>
      <c r="K59" s="2">
        <v>0</v>
      </c>
      <c r="L59" s="2">
        <v>0.1462</v>
      </c>
      <c r="M59" s="2">
        <v>1.89E-2</v>
      </c>
      <c r="N59">
        <v>0</v>
      </c>
      <c r="O59">
        <v>3</v>
      </c>
      <c r="P59">
        <v>0</v>
      </c>
      <c r="Q59">
        <v>1</v>
      </c>
    </row>
    <row r="60" spans="1:17" x14ac:dyDescent="0.25">
      <c r="A60" t="s">
        <v>59</v>
      </c>
      <c r="B60" s="1">
        <v>0.33714120370370365</v>
      </c>
      <c r="C60" s="1">
        <v>0.13162037037037036</v>
      </c>
      <c r="D60">
        <v>39</v>
      </c>
      <c r="E60" s="2">
        <v>0.69930000000000003</v>
      </c>
      <c r="F60" s="2">
        <v>0.34899999999999998</v>
      </c>
      <c r="G60" s="2">
        <v>0.35959999999999998</v>
      </c>
      <c r="H60" s="2">
        <v>1.95E-2</v>
      </c>
      <c r="I60" s="2">
        <v>0.1643</v>
      </c>
      <c r="J60" s="2">
        <v>1.1299999999999999E-2</v>
      </c>
      <c r="K60" s="2">
        <v>0</v>
      </c>
      <c r="L60" s="2">
        <v>0.44230000000000003</v>
      </c>
      <c r="M60" s="2">
        <v>2.8999999999999998E-3</v>
      </c>
      <c r="N60">
        <v>2</v>
      </c>
      <c r="O60">
        <v>1</v>
      </c>
      <c r="P60">
        <v>4</v>
      </c>
      <c r="Q60">
        <v>0</v>
      </c>
    </row>
    <row r="61" spans="1:17" x14ac:dyDescent="0.25">
      <c r="A61" t="s">
        <v>60</v>
      </c>
      <c r="B61" s="1">
        <v>0.34364583333333337</v>
      </c>
      <c r="C61" s="1">
        <v>0.17246527777777776</v>
      </c>
      <c r="D61">
        <v>38</v>
      </c>
      <c r="E61" s="2">
        <v>0.67030000000000001</v>
      </c>
      <c r="F61" s="2">
        <v>0.4793</v>
      </c>
      <c r="G61" s="2">
        <v>0.48830000000000001</v>
      </c>
      <c r="H61" s="2">
        <v>4.0000000000000002E-4</v>
      </c>
      <c r="I61" s="2">
        <v>0.22689999999999999</v>
      </c>
      <c r="J61" s="2">
        <v>1.3100000000000001E-2</v>
      </c>
      <c r="K61" s="2">
        <v>0</v>
      </c>
      <c r="L61" s="2">
        <v>0.2676</v>
      </c>
      <c r="M61" s="2">
        <v>3.7000000000000002E-3</v>
      </c>
      <c r="N61">
        <v>1</v>
      </c>
      <c r="O61">
        <v>1</v>
      </c>
      <c r="P61">
        <v>0</v>
      </c>
      <c r="Q61">
        <v>0</v>
      </c>
    </row>
    <row r="62" spans="1:17" x14ac:dyDescent="0.25">
      <c r="A62" t="s">
        <v>61</v>
      </c>
      <c r="B62" s="1">
        <v>0.21915509259259258</v>
      </c>
      <c r="C62" s="1">
        <v>0.15189814814814814</v>
      </c>
      <c r="D62">
        <v>37</v>
      </c>
      <c r="E62" s="2">
        <v>0.72719999999999996</v>
      </c>
      <c r="F62" s="2">
        <v>0.62760000000000005</v>
      </c>
      <c r="G62" s="2">
        <v>0.66420000000000001</v>
      </c>
      <c r="H62" s="2">
        <v>0</v>
      </c>
      <c r="I62" s="2">
        <v>0.25209999999999999</v>
      </c>
      <c r="J62" s="2">
        <v>2.8899999999999999E-2</v>
      </c>
      <c r="K62" s="2">
        <v>0</v>
      </c>
      <c r="L62" s="2">
        <v>4.9399999999999999E-2</v>
      </c>
      <c r="M62" s="2">
        <v>5.4000000000000003E-3</v>
      </c>
      <c r="N62">
        <v>1</v>
      </c>
      <c r="O62">
        <v>3</v>
      </c>
      <c r="P62">
        <v>0</v>
      </c>
      <c r="Q62">
        <v>0</v>
      </c>
    </row>
    <row r="63" spans="1:17" x14ac:dyDescent="0.25">
      <c r="A63" t="s">
        <v>62</v>
      </c>
      <c r="B63" s="1">
        <v>0.3417824074074074</v>
      </c>
      <c r="C63" s="1">
        <v>0.17645833333333336</v>
      </c>
      <c r="D63">
        <v>36</v>
      </c>
      <c r="E63" s="2">
        <v>0.70740000000000003</v>
      </c>
      <c r="F63" s="2">
        <v>0.47560000000000002</v>
      </c>
      <c r="G63" s="2">
        <v>0.49659999999999999</v>
      </c>
      <c r="H63" s="2">
        <v>1.8E-3</v>
      </c>
      <c r="I63" s="2">
        <v>0.2107</v>
      </c>
      <c r="J63" s="2">
        <v>1.7899999999999999E-2</v>
      </c>
      <c r="K63" s="2">
        <v>0</v>
      </c>
      <c r="L63" s="2">
        <v>0.27050000000000002</v>
      </c>
      <c r="M63" s="2">
        <v>2.5999999999999999E-3</v>
      </c>
      <c r="N63">
        <v>2</v>
      </c>
      <c r="O63">
        <v>1</v>
      </c>
      <c r="P63">
        <v>0</v>
      </c>
      <c r="Q63">
        <v>0</v>
      </c>
    </row>
    <row r="64" spans="1:17" x14ac:dyDescent="0.25">
      <c r="A64" t="s">
        <v>63</v>
      </c>
      <c r="B64" s="1">
        <v>0.33370370370370367</v>
      </c>
      <c r="C64" s="1">
        <v>0.16336805555555556</v>
      </c>
      <c r="D64">
        <v>35</v>
      </c>
      <c r="E64" s="2">
        <v>0.72860000000000003</v>
      </c>
      <c r="F64" s="2">
        <v>0.43640000000000001</v>
      </c>
      <c r="G64" s="2">
        <v>0.4531</v>
      </c>
      <c r="H64" s="2">
        <v>3.0999999999999999E-3</v>
      </c>
      <c r="I64" s="2">
        <v>0.17649999999999999</v>
      </c>
      <c r="J64" s="2">
        <v>3.3300000000000003E-2</v>
      </c>
      <c r="K64" s="2">
        <v>0</v>
      </c>
      <c r="L64" s="2">
        <v>0.32979999999999998</v>
      </c>
      <c r="M64" s="2">
        <v>4.1000000000000003E-3</v>
      </c>
      <c r="N64">
        <v>0</v>
      </c>
      <c r="O64">
        <v>6</v>
      </c>
      <c r="P64">
        <v>1</v>
      </c>
      <c r="Q64">
        <v>0</v>
      </c>
    </row>
    <row r="65" spans="1:17" x14ac:dyDescent="0.25">
      <c r="A65" t="s">
        <v>64</v>
      </c>
      <c r="B65" s="1">
        <v>0.33026620370370369</v>
      </c>
      <c r="C65" s="1">
        <v>0.16021990740740741</v>
      </c>
      <c r="D65">
        <v>34</v>
      </c>
      <c r="E65" s="2">
        <v>0.69159999999999999</v>
      </c>
      <c r="F65" s="2">
        <v>0.45129999999999998</v>
      </c>
      <c r="G65" s="2">
        <v>0.48780000000000001</v>
      </c>
      <c r="H65" s="2">
        <v>1.43E-2</v>
      </c>
      <c r="I65" s="2">
        <v>0.17929999999999999</v>
      </c>
      <c r="J65" s="2">
        <v>1.2699999999999999E-2</v>
      </c>
      <c r="K65" s="2">
        <v>0</v>
      </c>
      <c r="L65" s="2">
        <v>0.30409999999999998</v>
      </c>
      <c r="M65" s="2">
        <v>1.6999999999999999E-3</v>
      </c>
      <c r="N65">
        <v>1</v>
      </c>
      <c r="O65">
        <v>1</v>
      </c>
      <c r="P65">
        <v>4</v>
      </c>
      <c r="Q65">
        <v>1</v>
      </c>
    </row>
    <row r="66" spans="1:17" x14ac:dyDescent="0.25">
      <c r="A66" t="s">
        <v>65</v>
      </c>
      <c r="B66" s="1">
        <v>0.20910879629629631</v>
      </c>
      <c r="C66" s="1">
        <v>0.13449074074074074</v>
      </c>
      <c r="D66">
        <v>33</v>
      </c>
      <c r="E66" s="2">
        <v>0.67659999999999998</v>
      </c>
      <c r="F66" s="2">
        <v>0.61240000000000006</v>
      </c>
      <c r="G66" s="2">
        <v>0.63070000000000004</v>
      </c>
      <c r="H66" s="2">
        <v>0</v>
      </c>
      <c r="I66" s="2">
        <v>0.25380000000000003</v>
      </c>
      <c r="J66" s="2">
        <v>1.2500000000000001E-2</v>
      </c>
      <c r="K66" s="2">
        <v>0</v>
      </c>
      <c r="L66" s="2">
        <v>9.8199999999999996E-2</v>
      </c>
      <c r="M66" s="2">
        <v>4.7999999999999996E-3</v>
      </c>
      <c r="N66">
        <v>3</v>
      </c>
      <c r="O66">
        <v>0</v>
      </c>
      <c r="P66">
        <v>0</v>
      </c>
      <c r="Q66">
        <v>0</v>
      </c>
    </row>
    <row r="67" spans="1:17" x14ac:dyDescent="0.25">
      <c r="A67" t="s">
        <v>66</v>
      </c>
      <c r="B67" s="1">
        <v>0.34836805555555556</v>
      </c>
      <c r="C67" s="1">
        <v>0.19697916666666668</v>
      </c>
      <c r="D67">
        <v>32</v>
      </c>
      <c r="E67" s="2">
        <v>0.64370000000000005</v>
      </c>
      <c r="F67" s="2">
        <v>0.51759999999999995</v>
      </c>
      <c r="G67" s="2">
        <v>0.54049999999999998</v>
      </c>
      <c r="H67" s="2">
        <v>0</v>
      </c>
      <c r="I67" s="2">
        <v>0.28260000000000002</v>
      </c>
      <c r="J67" s="2">
        <v>2.4899999999999999E-2</v>
      </c>
      <c r="K67" s="2">
        <v>0</v>
      </c>
      <c r="L67" s="2">
        <v>0.14760000000000001</v>
      </c>
      <c r="M67" s="2">
        <v>4.3E-3</v>
      </c>
      <c r="N67">
        <v>3</v>
      </c>
      <c r="O67">
        <v>4</v>
      </c>
      <c r="P67">
        <v>0</v>
      </c>
      <c r="Q67">
        <v>0</v>
      </c>
    </row>
    <row r="68" spans="1:17" x14ac:dyDescent="0.25">
      <c r="A68" t="s">
        <v>67</v>
      </c>
      <c r="B68" s="1">
        <v>0.34686342592592595</v>
      </c>
      <c r="C68" s="1">
        <v>0.2043865740740741</v>
      </c>
      <c r="D68">
        <v>31</v>
      </c>
      <c r="E68" s="2">
        <v>0.68049999999999999</v>
      </c>
      <c r="F68" s="2">
        <v>0.55549999999999999</v>
      </c>
      <c r="G68" s="2">
        <v>0.57050000000000001</v>
      </c>
      <c r="H68" s="2">
        <v>1.03E-2</v>
      </c>
      <c r="I68" s="2">
        <v>0.26390000000000002</v>
      </c>
      <c r="J68" s="2">
        <v>8.0999999999999996E-3</v>
      </c>
      <c r="K68" s="2">
        <v>0</v>
      </c>
      <c r="L68" s="2">
        <v>0.13700000000000001</v>
      </c>
      <c r="M68" s="2">
        <v>1.01E-2</v>
      </c>
      <c r="N68">
        <v>3</v>
      </c>
      <c r="O68">
        <v>0</v>
      </c>
      <c r="P68">
        <v>5</v>
      </c>
      <c r="Q68">
        <v>1</v>
      </c>
    </row>
    <row r="69" spans="1:17" x14ac:dyDescent="0.25">
      <c r="A69" t="s">
        <v>68</v>
      </c>
      <c r="B69" s="1">
        <v>0.3480671296296296</v>
      </c>
      <c r="C69" s="1">
        <v>0.19177083333333333</v>
      </c>
      <c r="D69">
        <v>30</v>
      </c>
      <c r="E69" s="2">
        <v>0.75290000000000001</v>
      </c>
      <c r="F69" s="2">
        <v>0.45540000000000003</v>
      </c>
      <c r="G69" s="2">
        <v>0.46889999999999998</v>
      </c>
      <c r="H69" s="2">
        <v>4.0899999999999999E-2</v>
      </c>
      <c r="I69" s="2">
        <v>0.1757</v>
      </c>
      <c r="J69" s="2">
        <v>4.1099999999999998E-2</v>
      </c>
      <c r="K69" s="2">
        <v>0</v>
      </c>
      <c r="L69" s="2">
        <v>0.26989999999999997</v>
      </c>
      <c r="M69" s="2">
        <v>3.3999999999999998E-3</v>
      </c>
      <c r="N69">
        <v>6</v>
      </c>
      <c r="O69">
        <v>8</v>
      </c>
      <c r="P69">
        <v>6</v>
      </c>
      <c r="Q69">
        <v>0</v>
      </c>
    </row>
    <row r="70" spans="1:17" x14ac:dyDescent="0.25">
      <c r="A70" t="s">
        <v>69</v>
      </c>
      <c r="B70" s="1">
        <v>0.33495370370370375</v>
      </c>
      <c r="C70" s="1">
        <v>0.19739583333333333</v>
      </c>
      <c r="D70">
        <v>29</v>
      </c>
      <c r="E70" s="2">
        <v>0.68920000000000003</v>
      </c>
      <c r="F70" s="2">
        <v>0.53449999999999998</v>
      </c>
      <c r="G70" s="2">
        <v>0.55730000000000002</v>
      </c>
      <c r="H70" s="2">
        <v>1.4E-2</v>
      </c>
      <c r="I70" s="2">
        <v>0.25879999999999997</v>
      </c>
      <c r="J70" s="2">
        <v>1.8100000000000002E-2</v>
      </c>
      <c r="K70" s="2">
        <v>0</v>
      </c>
      <c r="L70" s="2">
        <v>0.1452</v>
      </c>
      <c r="M70" s="2">
        <v>6.6E-3</v>
      </c>
      <c r="N70">
        <v>1</v>
      </c>
      <c r="O70">
        <v>2</v>
      </c>
      <c r="P70">
        <v>2</v>
      </c>
      <c r="Q70">
        <v>1</v>
      </c>
    </row>
    <row r="71" spans="1:17" x14ac:dyDescent="0.25">
      <c r="A71" t="s">
        <v>70</v>
      </c>
      <c r="B71" s="1">
        <v>0.34497685185185184</v>
      </c>
      <c r="C71" s="1">
        <v>0.20746527777777779</v>
      </c>
      <c r="D71">
        <v>28</v>
      </c>
      <c r="E71" s="2">
        <v>0.74780000000000002</v>
      </c>
      <c r="F71" s="2">
        <v>0.55910000000000004</v>
      </c>
      <c r="G71" s="2">
        <v>0.57499999999999996</v>
      </c>
      <c r="H71" s="2">
        <v>9.1999999999999998E-3</v>
      </c>
      <c r="I71" s="2">
        <v>0.19670000000000001</v>
      </c>
      <c r="J71" s="2">
        <v>1.5800000000000002E-2</v>
      </c>
      <c r="K71" s="2">
        <v>0</v>
      </c>
      <c r="L71" s="2">
        <v>0.1961</v>
      </c>
      <c r="M71" s="2">
        <v>7.1999999999999998E-3</v>
      </c>
      <c r="N71">
        <v>3</v>
      </c>
      <c r="O71">
        <v>1</v>
      </c>
      <c r="P71">
        <v>2</v>
      </c>
      <c r="Q71">
        <v>2</v>
      </c>
    </row>
    <row r="72" spans="1:17" x14ac:dyDescent="0.25">
      <c r="A72" t="s">
        <v>71</v>
      </c>
      <c r="B72" s="1">
        <v>0.33376157407407409</v>
      </c>
      <c r="C72" s="1">
        <v>0.19787037037037036</v>
      </c>
      <c r="D72">
        <v>29</v>
      </c>
      <c r="E72" s="2">
        <v>0.69350000000000001</v>
      </c>
      <c r="F72" s="2">
        <v>0.56850000000000001</v>
      </c>
      <c r="G72" s="2">
        <v>0.56869999999999998</v>
      </c>
      <c r="H72" s="2">
        <v>7.1000000000000004E-3</v>
      </c>
      <c r="I72" s="2">
        <v>0.25840000000000002</v>
      </c>
      <c r="J72" s="2">
        <v>1.7000000000000001E-2</v>
      </c>
      <c r="K72" s="2">
        <v>0</v>
      </c>
      <c r="L72" s="2">
        <v>0.1454</v>
      </c>
      <c r="M72" s="2">
        <v>3.3999999999999998E-3</v>
      </c>
      <c r="N72">
        <v>1</v>
      </c>
      <c r="O72">
        <v>0</v>
      </c>
      <c r="P72">
        <v>1</v>
      </c>
      <c r="Q72">
        <v>0</v>
      </c>
    </row>
    <row r="73" spans="1:17" x14ac:dyDescent="0.25">
      <c r="A73" t="s">
        <v>72</v>
      </c>
      <c r="B73" s="1">
        <v>0.33037037037037037</v>
      </c>
      <c r="C73" s="1">
        <v>0.1849652777777778</v>
      </c>
      <c r="D73">
        <v>30</v>
      </c>
      <c r="E73" s="2">
        <v>0.70030000000000003</v>
      </c>
      <c r="F73" s="2">
        <v>0.47510000000000002</v>
      </c>
      <c r="G73" s="2">
        <v>0.48949999999999999</v>
      </c>
      <c r="H73" s="2">
        <v>1.37E-2</v>
      </c>
      <c r="I73" s="2">
        <v>0.23580000000000001</v>
      </c>
      <c r="J73" s="2">
        <v>5.67E-2</v>
      </c>
      <c r="K73" s="2">
        <v>0</v>
      </c>
      <c r="L73" s="2">
        <v>0.2019</v>
      </c>
      <c r="M73" s="2">
        <v>2.3999999999999998E-3</v>
      </c>
      <c r="N73">
        <v>1</v>
      </c>
      <c r="O73">
        <v>8</v>
      </c>
      <c r="P73">
        <v>4</v>
      </c>
      <c r="Q73">
        <v>0</v>
      </c>
    </row>
    <row r="74" spans="1:17" x14ac:dyDescent="0.25">
      <c r="A74" t="s">
        <v>73</v>
      </c>
      <c r="B74" s="1">
        <v>0.34008101851851852</v>
      </c>
      <c r="C74" s="1">
        <v>0.16811342592592593</v>
      </c>
      <c r="D74">
        <v>31</v>
      </c>
      <c r="E74" s="2">
        <v>0.67210000000000003</v>
      </c>
      <c r="F74" s="2">
        <v>0.4758</v>
      </c>
      <c r="G74" s="2">
        <v>0.48070000000000002</v>
      </c>
      <c r="H74" s="2">
        <v>0</v>
      </c>
      <c r="I74" s="2">
        <v>0.23449999999999999</v>
      </c>
      <c r="J74" s="2">
        <v>1.3599999999999999E-2</v>
      </c>
      <c r="K74" s="2">
        <v>0</v>
      </c>
      <c r="L74" s="2">
        <v>0.26929999999999998</v>
      </c>
      <c r="M74" s="2">
        <v>1.8E-3</v>
      </c>
      <c r="N74">
        <v>0</v>
      </c>
      <c r="O74">
        <v>1</v>
      </c>
      <c r="P74">
        <v>0</v>
      </c>
      <c r="Q74">
        <v>0</v>
      </c>
    </row>
    <row r="75" spans="1:17" x14ac:dyDescent="0.25">
      <c r="A75" t="s">
        <v>74</v>
      </c>
      <c r="B75" s="1">
        <v>0.33415509259259263</v>
      </c>
      <c r="C75" s="1">
        <v>0.16863425925925926</v>
      </c>
      <c r="D75">
        <v>32</v>
      </c>
      <c r="E75" s="2">
        <v>0.72489999999999999</v>
      </c>
      <c r="F75" s="2">
        <v>0.46899999999999997</v>
      </c>
      <c r="G75" s="2">
        <v>0.48399999999999999</v>
      </c>
      <c r="H75" s="2">
        <v>0</v>
      </c>
      <c r="I75" s="2">
        <v>0.18790000000000001</v>
      </c>
      <c r="J75" s="2">
        <v>2.06E-2</v>
      </c>
      <c r="K75" s="2">
        <v>0</v>
      </c>
      <c r="L75" s="2">
        <v>0.30430000000000001</v>
      </c>
      <c r="M75" s="2">
        <v>3.2000000000000002E-3</v>
      </c>
      <c r="N75">
        <v>0</v>
      </c>
      <c r="O75">
        <v>3</v>
      </c>
      <c r="P75">
        <v>0</v>
      </c>
      <c r="Q75">
        <v>1</v>
      </c>
    </row>
    <row r="76" spans="1:17" x14ac:dyDescent="0.25">
      <c r="A76" t="s">
        <v>75</v>
      </c>
      <c r="B76" s="1">
        <v>0.34437500000000004</v>
      </c>
      <c r="C76" s="1">
        <v>0.18534722222222222</v>
      </c>
      <c r="D76">
        <v>33</v>
      </c>
      <c r="E76" s="2">
        <v>0.70120000000000005</v>
      </c>
      <c r="F76" s="2">
        <v>0.51359999999999995</v>
      </c>
      <c r="G76" s="2">
        <v>0.52059999999999995</v>
      </c>
      <c r="H76" s="2">
        <v>2.0999999999999999E-3</v>
      </c>
      <c r="I76" s="2">
        <v>0.21579999999999999</v>
      </c>
      <c r="J76" s="2">
        <v>2.3199999999999998E-2</v>
      </c>
      <c r="K76" s="2">
        <v>0</v>
      </c>
      <c r="L76" s="2">
        <v>0.23280000000000001</v>
      </c>
      <c r="M76" s="2">
        <v>5.5999999999999999E-3</v>
      </c>
      <c r="N76">
        <v>2</v>
      </c>
      <c r="O76">
        <v>1</v>
      </c>
      <c r="P76">
        <v>1</v>
      </c>
      <c r="Q76">
        <v>0</v>
      </c>
    </row>
    <row r="77" spans="1:17" x14ac:dyDescent="0.25">
      <c r="A77" t="s">
        <v>76</v>
      </c>
      <c r="B77" s="1">
        <v>0.3558101851851852</v>
      </c>
      <c r="C77" s="1">
        <v>0.21642361111111111</v>
      </c>
      <c r="D77">
        <v>34</v>
      </c>
      <c r="E77" s="2">
        <v>0.75160000000000005</v>
      </c>
      <c r="F77" s="2">
        <v>0.52510000000000001</v>
      </c>
      <c r="G77" s="2">
        <v>0.55120000000000002</v>
      </c>
      <c r="H77" s="2">
        <v>5.4000000000000003E-3</v>
      </c>
      <c r="I77" s="2">
        <v>0.1966</v>
      </c>
      <c r="J77" s="2">
        <v>5.16E-2</v>
      </c>
      <c r="K77" s="2">
        <v>0</v>
      </c>
      <c r="L77" s="2">
        <v>0.19259999999999999</v>
      </c>
      <c r="M77" s="2">
        <v>2.5000000000000001E-3</v>
      </c>
      <c r="N77">
        <v>3</v>
      </c>
      <c r="O77">
        <v>12</v>
      </c>
      <c r="P77">
        <v>2</v>
      </c>
      <c r="Q77">
        <v>0</v>
      </c>
    </row>
    <row r="78" spans="1:17" x14ac:dyDescent="0.25">
      <c r="A78" t="s">
        <v>77</v>
      </c>
      <c r="B78" s="1">
        <v>0.34848379629629633</v>
      </c>
      <c r="C78" s="1">
        <v>0.12767361111111111</v>
      </c>
      <c r="D78">
        <v>35</v>
      </c>
      <c r="E78" s="2">
        <v>0.73399999999999999</v>
      </c>
      <c r="F78" s="2">
        <v>0.34860000000000002</v>
      </c>
      <c r="G78" s="2">
        <v>0.34860000000000002</v>
      </c>
      <c r="H78" s="2">
        <v>0</v>
      </c>
      <c r="I78" s="2">
        <v>0.13109999999999999</v>
      </c>
      <c r="J78" s="2">
        <v>1.78E-2</v>
      </c>
      <c r="K78" s="2">
        <v>0</v>
      </c>
      <c r="L78" s="2">
        <v>0.501</v>
      </c>
      <c r="M78" s="2">
        <v>1.5E-3</v>
      </c>
      <c r="N78">
        <v>0</v>
      </c>
      <c r="O78">
        <v>3</v>
      </c>
      <c r="P78">
        <v>0</v>
      </c>
      <c r="Q78">
        <v>0</v>
      </c>
    </row>
    <row r="79" spans="1:17" x14ac:dyDescent="0.25">
      <c r="A79" t="s">
        <v>78</v>
      </c>
      <c r="B79" s="1">
        <v>0.35092592592592592</v>
      </c>
      <c r="C79" s="1">
        <v>0.12086805555555556</v>
      </c>
      <c r="D79">
        <v>36</v>
      </c>
      <c r="E79" s="2">
        <v>0.71209999999999996</v>
      </c>
      <c r="F79" s="2">
        <v>0.31469999999999998</v>
      </c>
      <c r="G79" s="2">
        <v>0.32379999999999998</v>
      </c>
      <c r="H79" s="2">
        <v>0</v>
      </c>
      <c r="I79" s="2">
        <v>0.1376</v>
      </c>
      <c r="J79" s="2">
        <v>2.06E-2</v>
      </c>
      <c r="K79" s="2">
        <v>0</v>
      </c>
      <c r="L79" s="2">
        <v>0.51670000000000005</v>
      </c>
      <c r="M79" s="2">
        <v>1.2999999999999999E-3</v>
      </c>
      <c r="N79">
        <v>1</v>
      </c>
      <c r="O79">
        <v>1</v>
      </c>
      <c r="P79">
        <v>0</v>
      </c>
      <c r="Q79">
        <v>1</v>
      </c>
    </row>
    <row r="80" spans="1:17" x14ac:dyDescent="0.25">
      <c r="A80" t="s">
        <v>79</v>
      </c>
      <c r="B80" s="1">
        <v>0.33891203703703704</v>
      </c>
      <c r="C80" s="1">
        <v>0.21581018518518516</v>
      </c>
      <c r="D80">
        <v>37</v>
      </c>
      <c r="E80" s="2">
        <v>0.74350000000000005</v>
      </c>
      <c r="F80" s="2">
        <v>0.55600000000000005</v>
      </c>
      <c r="G80" s="2">
        <v>0.56330000000000002</v>
      </c>
      <c r="H80" s="2">
        <v>1E-4</v>
      </c>
      <c r="I80" s="2">
        <v>0.21640000000000001</v>
      </c>
      <c r="J80" s="2">
        <v>7.3400000000000007E-2</v>
      </c>
      <c r="K80" s="2">
        <v>0</v>
      </c>
      <c r="L80" s="2">
        <v>0.14430000000000001</v>
      </c>
      <c r="M80" s="2">
        <v>2.5999999999999999E-3</v>
      </c>
      <c r="N80">
        <v>1</v>
      </c>
      <c r="O80">
        <v>12</v>
      </c>
      <c r="P80">
        <v>0</v>
      </c>
      <c r="Q80">
        <v>0</v>
      </c>
    </row>
    <row r="81" spans="1:17" x14ac:dyDescent="0.25">
      <c r="A81" t="s">
        <v>80</v>
      </c>
      <c r="B81" s="1">
        <v>0.34675925925925927</v>
      </c>
      <c r="C81" s="1">
        <v>0.17275462962962962</v>
      </c>
      <c r="D81">
        <v>38</v>
      </c>
      <c r="E81" s="2">
        <v>0.72709999999999997</v>
      </c>
      <c r="F81" s="2">
        <v>0.4622</v>
      </c>
      <c r="G81" s="2">
        <v>0.46929999999999999</v>
      </c>
      <c r="H81" s="2">
        <v>1E-4</v>
      </c>
      <c r="I81" s="2">
        <v>0.17519999999999999</v>
      </c>
      <c r="J81" s="2">
        <v>2.8799999999999999E-2</v>
      </c>
      <c r="K81" s="2">
        <v>0</v>
      </c>
      <c r="L81" s="2">
        <v>0.31540000000000001</v>
      </c>
      <c r="M81" s="2">
        <v>1.12E-2</v>
      </c>
      <c r="N81">
        <v>2</v>
      </c>
      <c r="O81">
        <v>5</v>
      </c>
      <c r="P81">
        <v>0</v>
      </c>
      <c r="Q81">
        <v>1</v>
      </c>
    </row>
    <row r="82" spans="1:17" x14ac:dyDescent="0.25">
      <c r="A82" t="s">
        <v>81</v>
      </c>
      <c r="B82" s="1">
        <v>0.3511111111111111</v>
      </c>
      <c r="C82" s="1">
        <v>0.15339120370370371</v>
      </c>
      <c r="D82">
        <v>39</v>
      </c>
      <c r="E82" s="2">
        <v>0.72250000000000003</v>
      </c>
      <c r="F82" s="2">
        <v>0.39079999999999998</v>
      </c>
      <c r="G82" s="2">
        <v>0.39479999999999998</v>
      </c>
      <c r="H82" s="2">
        <v>1.8E-3</v>
      </c>
      <c r="I82" s="2">
        <v>0.1656</v>
      </c>
      <c r="J82" s="2">
        <v>4.02E-2</v>
      </c>
      <c r="K82" s="2">
        <v>0</v>
      </c>
      <c r="L82" s="2">
        <v>0.39560000000000001</v>
      </c>
      <c r="M82" s="2">
        <v>1.9E-3</v>
      </c>
      <c r="N82">
        <v>3</v>
      </c>
      <c r="O82">
        <v>5</v>
      </c>
      <c r="P82">
        <v>1</v>
      </c>
      <c r="Q82">
        <v>0</v>
      </c>
    </row>
    <row r="83" spans="1:17" x14ac:dyDescent="0.25">
      <c r="A83" t="s">
        <v>82</v>
      </c>
      <c r="B83" s="1">
        <v>0.3447453703703704</v>
      </c>
      <c r="C83" s="1">
        <v>0.21947916666666667</v>
      </c>
      <c r="D83">
        <v>40</v>
      </c>
      <c r="E83" s="2">
        <v>0.73839999999999995</v>
      </c>
      <c r="F83" s="2">
        <v>0.54710000000000003</v>
      </c>
      <c r="G83" s="2">
        <v>0.55889999999999995</v>
      </c>
      <c r="H83" s="2">
        <v>3.0999999999999999E-3</v>
      </c>
      <c r="I83" s="2">
        <v>0.21959999999999999</v>
      </c>
      <c r="J83" s="2">
        <v>7.4700000000000003E-2</v>
      </c>
      <c r="K83" s="2">
        <v>0</v>
      </c>
      <c r="L83" s="2">
        <v>0.1381</v>
      </c>
      <c r="M83" s="2">
        <v>5.7000000000000002E-3</v>
      </c>
      <c r="N83">
        <v>0</v>
      </c>
      <c r="O83">
        <v>8</v>
      </c>
      <c r="P83">
        <v>1</v>
      </c>
      <c r="Q83">
        <v>0</v>
      </c>
    </row>
    <row r="84" spans="1:17" x14ac:dyDescent="0.25">
      <c r="A84" t="s">
        <v>83</v>
      </c>
      <c r="B84" s="1">
        <v>0.3167476851851852</v>
      </c>
      <c r="C84" s="1">
        <v>0.21346064814814814</v>
      </c>
      <c r="D84">
        <v>41</v>
      </c>
      <c r="E84" s="2">
        <v>0.72140000000000004</v>
      </c>
      <c r="F84" s="2">
        <v>0.61460000000000004</v>
      </c>
      <c r="G84" s="2">
        <v>0.6179</v>
      </c>
      <c r="H84" s="2">
        <v>1E-4</v>
      </c>
      <c r="I84" s="2">
        <v>0.25629999999999997</v>
      </c>
      <c r="J84" s="2">
        <v>5.5899999999999998E-2</v>
      </c>
      <c r="K84" s="2">
        <v>0</v>
      </c>
      <c r="L84" s="2">
        <v>6.6500000000000004E-2</v>
      </c>
      <c r="M84" s="2">
        <v>3.3E-3</v>
      </c>
      <c r="N84">
        <v>4</v>
      </c>
      <c r="O84">
        <v>6</v>
      </c>
      <c r="P84">
        <v>0</v>
      </c>
      <c r="Q84">
        <v>0</v>
      </c>
    </row>
    <row r="85" spans="1:17" x14ac:dyDescent="0.25">
      <c r="A85" t="s">
        <v>84</v>
      </c>
      <c r="B85" s="1">
        <v>0.34024305555555556</v>
      </c>
      <c r="C85" s="1">
        <v>0.21100694444444446</v>
      </c>
      <c r="D85">
        <v>42</v>
      </c>
      <c r="E85" s="2">
        <v>0.71950000000000003</v>
      </c>
      <c r="F85" s="2">
        <v>0.5534</v>
      </c>
      <c r="G85" s="2">
        <v>0.56640000000000001</v>
      </c>
      <c r="H85" s="2">
        <v>2.0000000000000001E-4</v>
      </c>
      <c r="I85" s="2">
        <v>0.2344</v>
      </c>
      <c r="J85" s="2">
        <v>5.3600000000000002E-2</v>
      </c>
      <c r="K85" s="2">
        <v>0</v>
      </c>
      <c r="L85" s="2">
        <v>0.14030000000000001</v>
      </c>
      <c r="M85" s="2">
        <v>5.1000000000000004E-3</v>
      </c>
      <c r="N85">
        <v>1</v>
      </c>
      <c r="O85">
        <v>7</v>
      </c>
      <c r="P85">
        <v>0</v>
      </c>
      <c r="Q85">
        <v>0</v>
      </c>
    </row>
    <row r="86" spans="1:17" x14ac:dyDescent="0.25">
      <c r="A86" t="s">
        <v>85</v>
      </c>
      <c r="B86" s="1">
        <v>0.33611111111111108</v>
      </c>
      <c r="C86" s="1">
        <v>0.21214120370370371</v>
      </c>
      <c r="D86">
        <v>43</v>
      </c>
      <c r="E86" s="2">
        <v>0.72909999999999997</v>
      </c>
      <c r="F86" s="2">
        <v>0.61140000000000005</v>
      </c>
      <c r="G86" s="2">
        <v>0.61909999999999998</v>
      </c>
      <c r="H86" s="2">
        <v>0</v>
      </c>
      <c r="I86" s="2">
        <v>0.2253</v>
      </c>
      <c r="J86" s="2">
        <v>1.21E-2</v>
      </c>
      <c r="K86" s="2">
        <v>0</v>
      </c>
      <c r="L86" s="2">
        <v>0.14130000000000001</v>
      </c>
      <c r="M86" s="2">
        <v>2.2000000000000001E-3</v>
      </c>
      <c r="N86">
        <v>2</v>
      </c>
      <c r="O86">
        <v>1</v>
      </c>
      <c r="P86">
        <v>0</v>
      </c>
      <c r="Q86">
        <v>0</v>
      </c>
    </row>
    <row r="87" spans="1:17" x14ac:dyDescent="0.25">
      <c r="A87" t="s">
        <v>86</v>
      </c>
      <c r="B87" s="1">
        <v>0.3331365740740741</v>
      </c>
      <c r="C87" s="1">
        <v>0.18670138888888888</v>
      </c>
      <c r="D87">
        <v>44</v>
      </c>
      <c r="E87" s="2">
        <v>0.70179999999999998</v>
      </c>
      <c r="F87" s="2">
        <v>0.51219999999999999</v>
      </c>
      <c r="G87" s="2">
        <v>0.53269999999999995</v>
      </c>
      <c r="H87" s="2">
        <v>2.7000000000000001E-3</v>
      </c>
      <c r="I87" s="2">
        <v>0.23549999999999999</v>
      </c>
      <c r="J87" s="2">
        <v>2.5000000000000001E-2</v>
      </c>
      <c r="K87" s="2">
        <v>0</v>
      </c>
      <c r="L87" s="2">
        <v>0.2024</v>
      </c>
      <c r="M87" s="2">
        <v>1.6999999999999999E-3</v>
      </c>
      <c r="N87">
        <v>2</v>
      </c>
      <c r="O87">
        <v>4</v>
      </c>
      <c r="P87">
        <v>1</v>
      </c>
      <c r="Q87">
        <v>0</v>
      </c>
    </row>
    <row r="88" spans="1:17" x14ac:dyDescent="0.25">
      <c r="A88" t="s">
        <v>87</v>
      </c>
      <c r="B88" s="1">
        <v>0.35135416666666663</v>
      </c>
      <c r="C88" s="1">
        <v>0.20708333333333331</v>
      </c>
      <c r="D88">
        <v>45</v>
      </c>
      <c r="E88" s="2">
        <v>0.69810000000000005</v>
      </c>
      <c r="F88" s="2">
        <v>0.56030000000000002</v>
      </c>
      <c r="G88" s="2">
        <v>0.57550000000000001</v>
      </c>
      <c r="H88" s="2">
        <v>5.9999999999999995E-4</v>
      </c>
      <c r="I88" s="2">
        <v>0.24990000000000001</v>
      </c>
      <c r="J88" s="2">
        <v>1.3299999999999999E-2</v>
      </c>
      <c r="K88" s="2">
        <v>0</v>
      </c>
      <c r="L88" s="2">
        <v>0.15640000000000001</v>
      </c>
      <c r="M88" s="2">
        <v>4.3E-3</v>
      </c>
      <c r="N88">
        <v>1</v>
      </c>
      <c r="O88">
        <v>1</v>
      </c>
      <c r="P88">
        <v>0</v>
      </c>
      <c r="Q88">
        <v>0</v>
      </c>
    </row>
    <row r="89" spans="1:17" x14ac:dyDescent="0.25">
      <c r="A89" t="s">
        <v>88</v>
      </c>
      <c r="B89" s="1">
        <v>0.34356481481481477</v>
      </c>
      <c r="C89" s="1">
        <v>0.16344907407407408</v>
      </c>
      <c r="D89">
        <v>46</v>
      </c>
      <c r="E89" s="2">
        <v>0.68410000000000004</v>
      </c>
      <c r="F89" s="2">
        <v>0.4289</v>
      </c>
      <c r="G89" s="2">
        <v>0.44440000000000002</v>
      </c>
      <c r="H89" s="2">
        <v>2.0000000000000001E-4</v>
      </c>
      <c r="I89" s="2">
        <v>0.21049999999999999</v>
      </c>
      <c r="J89" s="2">
        <v>3.1099999999999999E-2</v>
      </c>
      <c r="K89" s="2">
        <v>0</v>
      </c>
      <c r="L89" s="2">
        <v>0.31180000000000002</v>
      </c>
      <c r="M89" s="2">
        <v>2E-3</v>
      </c>
      <c r="N89">
        <v>1</v>
      </c>
      <c r="O89">
        <v>4</v>
      </c>
      <c r="P89">
        <v>0</v>
      </c>
      <c r="Q89">
        <v>0</v>
      </c>
    </row>
    <row r="90" spans="1:17" x14ac:dyDescent="0.25">
      <c r="A90" t="s">
        <v>89</v>
      </c>
      <c r="B90" s="1">
        <v>0.34900462962962964</v>
      </c>
      <c r="C90" s="1">
        <v>3.3715277777777775E-2</v>
      </c>
      <c r="D90">
        <v>47</v>
      </c>
      <c r="E90" s="2">
        <v>0.64119999999999999</v>
      </c>
      <c r="F90" s="2">
        <v>9.4500000000000001E-2</v>
      </c>
      <c r="G90" s="2">
        <v>9.4500000000000001E-2</v>
      </c>
      <c r="H90" s="2">
        <v>0</v>
      </c>
      <c r="I90" s="2">
        <v>4.6399999999999997E-2</v>
      </c>
      <c r="J90" s="2">
        <v>2.0999999999999999E-3</v>
      </c>
      <c r="K90" s="2">
        <v>0</v>
      </c>
      <c r="L90" s="2">
        <v>0.85229999999999995</v>
      </c>
      <c r="M90" s="2">
        <v>4.7000000000000002E-3</v>
      </c>
      <c r="N90">
        <v>1</v>
      </c>
      <c r="O90">
        <v>0</v>
      </c>
      <c r="P90">
        <v>0</v>
      </c>
      <c r="Q90">
        <v>0</v>
      </c>
    </row>
    <row r="91" spans="1:17" x14ac:dyDescent="0.25">
      <c r="A91" t="s">
        <v>90</v>
      </c>
      <c r="B91" s="1">
        <v>0.33378472222222227</v>
      </c>
      <c r="C91" s="1">
        <v>0.21655092592592592</v>
      </c>
      <c r="D91">
        <v>48</v>
      </c>
      <c r="E91" s="2">
        <v>0.76119999999999999</v>
      </c>
      <c r="F91" s="2">
        <v>0.61019999999999996</v>
      </c>
      <c r="G91" s="2">
        <v>0.61770000000000003</v>
      </c>
      <c r="H91" s="2">
        <v>2E-3</v>
      </c>
      <c r="I91" s="2">
        <v>0.1943</v>
      </c>
      <c r="J91" s="2">
        <v>2.9100000000000001E-2</v>
      </c>
      <c r="K91" s="2">
        <v>0</v>
      </c>
      <c r="L91" s="2">
        <v>0.14990000000000001</v>
      </c>
      <c r="M91" s="2">
        <v>7.0000000000000001E-3</v>
      </c>
      <c r="N91">
        <v>1</v>
      </c>
      <c r="O91">
        <v>5</v>
      </c>
      <c r="P91">
        <v>1</v>
      </c>
      <c r="Q91">
        <v>0</v>
      </c>
    </row>
    <row r="92" spans="1:17" x14ac:dyDescent="0.25">
      <c r="A92" t="s">
        <v>91</v>
      </c>
      <c r="B92" s="1">
        <v>0.34559027777777779</v>
      </c>
      <c r="C92" s="1">
        <v>0.2011574074074074</v>
      </c>
      <c r="D92">
        <v>49</v>
      </c>
      <c r="E92" s="2">
        <v>0.77170000000000005</v>
      </c>
      <c r="F92" s="2">
        <v>0.51259999999999994</v>
      </c>
      <c r="G92" s="2">
        <v>0.53710000000000002</v>
      </c>
      <c r="H92" s="2">
        <v>0</v>
      </c>
      <c r="I92" s="2">
        <v>0.156</v>
      </c>
      <c r="J92" s="2">
        <v>4.4999999999999998E-2</v>
      </c>
      <c r="K92" s="2">
        <v>0</v>
      </c>
      <c r="L92" s="2">
        <v>0.25440000000000002</v>
      </c>
      <c r="M92" s="2">
        <v>7.6E-3</v>
      </c>
      <c r="N92">
        <v>3</v>
      </c>
      <c r="O92">
        <v>8</v>
      </c>
      <c r="P92">
        <v>0</v>
      </c>
      <c r="Q92">
        <v>1</v>
      </c>
    </row>
    <row r="93" spans="1:17" x14ac:dyDescent="0.25">
      <c r="A93" t="s">
        <v>92</v>
      </c>
      <c r="B93" s="1">
        <v>0.21146990740740743</v>
      </c>
      <c r="C93" s="1">
        <v>0.14190972222222223</v>
      </c>
      <c r="D93">
        <v>50</v>
      </c>
      <c r="E93" s="2">
        <v>0.70599999999999996</v>
      </c>
      <c r="F93" s="2">
        <v>0.62429999999999997</v>
      </c>
      <c r="G93" s="2">
        <v>0.626</v>
      </c>
      <c r="H93" s="2">
        <v>0</v>
      </c>
      <c r="I93" s="2">
        <v>0.24390000000000001</v>
      </c>
      <c r="J93" s="2">
        <v>4.5100000000000001E-2</v>
      </c>
      <c r="K93" s="2">
        <v>0</v>
      </c>
      <c r="L93" s="2">
        <v>8.0299999999999996E-2</v>
      </c>
      <c r="M93" s="2">
        <v>4.7999999999999996E-3</v>
      </c>
      <c r="N93">
        <v>1</v>
      </c>
      <c r="O93">
        <v>4</v>
      </c>
      <c r="P93">
        <v>0</v>
      </c>
      <c r="Q93">
        <v>0</v>
      </c>
    </row>
    <row r="94" spans="1:17" x14ac:dyDescent="0.25">
      <c r="A94" t="s">
        <v>93</v>
      </c>
      <c r="B94" s="1">
        <v>0.34075231481481483</v>
      </c>
      <c r="C94" s="1">
        <v>0.1976273148148148</v>
      </c>
      <c r="D94">
        <v>51</v>
      </c>
      <c r="E94" s="2">
        <v>0.6754</v>
      </c>
      <c r="F94" s="2">
        <v>0.54369999999999996</v>
      </c>
      <c r="G94" s="2">
        <v>0.55759999999999998</v>
      </c>
      <c r="H94" s="2">
        <v>0</v>
      </c>
      <c r="I94" s="2">
        <v>0.27589999999999998</v>
      </c>
      <c r="J94" s="2">
        <v>2.23E-2</v>
      </c>
      <c r="K94" s="2">
        <v>0</v>
      </c>
      <c r="L94" s="2">
        <v>0.1416</v>
      </c>
      <c r="M94" s="2">
        <v>2.5000000000000001E-3</v>
      </c>
      <c r="N94">
        <v>2</v>
      </c>
      <c r="O94">
        <v>3</v>
      </c>
      <c r="P94">
        <v>0</v>
      </c>
      <c r="Q94">
        <v>0</v>
      </c>
    </row>
    <row r="95" spans="1:17" x14ac:dyDescent="0.25">
      <c r="A95" t="s">
        <v>94</v>
      </c>
      <c r="B95" s="1">
        <v>0.34390046296296295</v>
      </c>
      <c r="C95">
        <v>0</v>
      </c>
      <c r="D95">
        <v>52</v>
      </c>
      <c r="G95" s="2">
        <v>0</v>
      </c>
      <c r="H95" s="2">
        <v>0</v>
      </c>
      <c r="I95" s="2">
        <v>1E-4</v>
      </c>
      <c r="J95" s="2">
        <v>0</v>
      </c>
      <c r="K95" s="2">
        <v>0</v>
      </c>
      <c r="L95" s="2">
        <v>0.99990000000000001</v>
      </c>
      <c r="M95" s="2">
        <v>0</v>
      </c>
      <c r="N95">
        <v>0</v>
      </c>
      <c r="O95">
        <v>0</v>
      </c>
      <c r="P95">
        <v>0</v>
      </c>
      <c r="Q95">
        <v>0</v>
      </c>
    </row>
    <row r="96" spans="1:17" x14ac:dyDescent="0.25">
      <c r="A96" t="s">
        <v>95</v>
      </c>
      <c r="B96" s="1">
        <v>0.33532407407407411</v>
      </c>
      <c r="C96" s="1">
        <v>5.0763888888888886E-2</v>
      </c>
      <c r="D96">
        <v>53</v>
      </c>
      <c r="E96" s="2">
        <v>0.87790000000000001</v>
      </c>
      <c r="F96" s="2">
        <v>0.14430000000000001</v>
      </c>
      <c r="G96" s="2">
        <v>0.1489</v>
      </c>
      <c r="H96" s="2">
        <v>0</v>
      </c>
      <c r="I96" s="2">
        <v>1.6400000000000001E-2</v>
      </c>
      <c r="J96" s="2">
        <v>2.5000000000000001E-3</v>
      </c>
      <c r="K96" s="2">
        <v>0</v>
      </c>
      <c r="L96" s="2">
        <v>0.82779999999999998</v>
      </c>
      <c r="M96" s="2">
        <v>4.4000000000000003E-3</v>
      </c>
      <c r="N96">
        <v>1</v>
      </c>
      <c r="O96">
        <v>0</v>
      </c>
      <c r="P96">
        <v>0</v>
      </c>
      <c r="Q96">
        <v>0</v>
      </c>
    </row>
    <row r="97" spans="1:17" x14ac:dyDescent="0.25">
      <c r="A97" t="s">
        <v>96</v>
      </c>
      <c r="B97" s="1">
        <v>0.34682870370370367</v>
      </c>
      <c r="C97" s="1">
        <v>0.20351851851851852</v>
      </c>
      <c r="D97">
        <v>54</v>
      </c>
      <c r="E97" s="2">
        <v>0.68049999999999999</v>
      </c>
      <c r="F97" s="2">
        <v>0.55259999999999998</v>
      </c>
      <c r="G97" s="2">
        <v>0.56520000000000004</v>
      </c>
      <c r="H97" s="2">
        <v>5.0000000000000001E-4</v>
      </c>
      <c r="I97" s="2">
        <v>0.26329999999999998</v>
      </c>
      <c r="J97" s="2">
        <v>2.1100000000000001E-2</v>
      </c>
      <c r="K97" s="2">
        <v>0</v>
      </c>
      <c r="L97" s="2">
        <v>0.1477</v>
      </c>
      <c r="M97" s="2">
        <v>2.2000000000000001E-3</v>
      </c>
      <c r="N97">
        <v>4</v>
      </c>
      <c r="O97">
        <v>4</v>
      </c>
      <c r="P97">
        <v>0</v>
      </c>
      <c r="Q97">
        <v>0</v>
      </c>
    </row>
    <row r="98" spans="1:17" x14ac:dyDescent="0.25">
      <c r="A98" t="s">
        <v>97</v>
      </c>
      <c r="B98" s="1">
        <v>0.33483796296296298</v>
      </c>
      <c r="C98" s="1">
        <v>6.6759259259259254E-2</v>
      </c>
      <c r="D98">
        <v>55</v>
      </c>
      <c r="E98" s="2">
        <v>0.70089999999999997</v>
      </c>
      <c r="F98" s="2">
        <v>0.18940000000000001</v>
      </c>
      <c r="G98" s="2">
        <v>0.19450000000000001</v>
      </c>
      <c r="H98" s="2">
        <v>5.0000000000000001E-4</v>
      </c>
      <c r="I98" s="2">
        <v>8.4000000000000005E-2</v>
      </c>
      <c r="J98" s="2">
        <v>4.4000000000000003E-3</v>
      </c>
      <c r="K98" s="2">
        <v>0</v>
      </c>
      <c r="L98" s="2">
        <v>0.71599999999999997</v>
      </c>
      <c r="M98" s="2">
        <v>6.9999999999999999E-4</v>
      </c>
      <c r="N98">
        <v>0</v>
      </c>
      <c r="O98">
        <v>0</v>
      </c>
      <c r="P98">
        <v>0</v>
      </c>
      <c r="Q98">
        <v>0</v>
      </c>
    </row>
    <row r="99" spans="1:17" x14ac:dyDescent="0.25">
      <c r="A99" t="s">
        <v>98</v>
      </c>
      <c r="B99" s="1">
        <v>0.34770833333333334</v>
      </c>
      <c r="C99" s="1">
        <v>0.1784375</v>
      </c>
      <c r="D99">
        <v>56</v>
      </c>
      <c r="E99" s="2">
        <v>0.68069999999999997</v>
      </c>
      <c r="F99" s="2">
        <v>0.4708</v>
      </c>
      <c r="G99" s="2">
        <v>0.4778</v>
      </c>
      <c r="H99" s="2">
        <v>2.3999999999999998E-3</v>
      </c>
      <c r="I99" s="2">
        <v>0.23280000000000001</v>
      </c>
      <c r="J99" s="2">
        <v>3.3000000000000002E-2</v>
      </c>
      <c r="K99" s="2">
        <v>0</v>
      </c>
      <c r="L99" s="2">
        <v>0.24959999999999999</v>
      </c>
      <c r="M99" s="2">
        <v>4.4000000000000003E-3</v>
      </c>
      <c r="N99">
        <v>0</v>
      </c>
      <c r="O99">
        <v>5</v>
      </c>
      <c r="P99">
        <v>1</v>
      </c>
      <c r="Q99">
        <v>1</v>
      </c>
    </row>
    <row r="100" spans="1:17" x14ac:dyDescent="0.25">
      <c r="A100" t="s">
        <v>99</v>
      </c>
      <c r="B100" s="1">
        <v>0.33384259259259258</v>
      </c>
      <c r="C100" s="1">
        <v>0.19934027777777777</v>
      </c>
      <c r="D100">
        <v>57</v>
      </c>
      <c r="E100" s="2">
        <v>0.69799999999999995</v>
      </c>
      <c r="F100" s="2">
        <v>0.53859999999999997</v>
      </c>
      <c r="G100" s="2">
        <v>0.54500000000000004</v>
      </c>
      <c r="H100" s="2">
        <v>2E-3</v>
      </c>
      <c r="I100" s="2">
        <v>0.25180000000000002</v>
      </c>
      <c r="J100" s="2">
        <v>5.0099999999999999E-2</v>
      </c>
      <c r="K100" s="2">
        <v>0</v>
      </c>
      <c r="L100" s="2">
        <v>0.1482</v>
      </c>
      <c r="M100" s="2">
        <v>2.8999999999999998E-3</v>
      </c>
      <c r="N100">
        <v>0</v>
      </c>
      <c r="O100">
        <v>6</v>
      </c>
      <c r="P100">
        <v>0</v>
      </c>
      <c r="Q100">
        <v>2</v>
      </c>
    </row>
    <row r="101" spans="1:17" x14ac:dyDescent="0.25">
      <c r="A101" t="s">
        <v>100</v>
      </c>
      <c r="B101" s="1">
        <v>0.3346412037037037</v>
      </c>
      <c r="C101" s="1">
        <v>0.19371527777777778</v>
      </c>
      <c r="D101">
        <v>58</v>
      </c>
      <c r="E101" s="2">
        <v>0.67620000000000002</v>
      </c>
      <c r="F101" s="2">
        <v>0.53290000000000004</v>
      </c>
      <c r="G101" s="2">
        <v>0.54139999999999999</v>
      </c>
      <c r="H101" s="2">
        <v>6.9999999999999999E-4</v>
      </c>
      <c r="I101" s="2">
        <v>0.27450000000000002</v>
      </c>
      <c r="J101" s="2">
        <v>3.6700000000000003E-2</v>
      </c>
      <c r="K101" s="2">
        <v>0</v>
      </c>
      <c r="L101" s="2">
        <v>0.14419999999999999</v>
      </c>
      <c r="M101" s="2">
        <v>2.3999999999999998E-3</v>
      </c>
      <c r="N101">
        <v>3</v>
      </c>
      <c r="O101">
        <v>8</v>
      </c>
      <c r="P101">
        <v>0</v>
      </c>
      <c r="Q101">
        <v>2</v>
      </c>
    </row>
    <row r="102" spans="1:17" x14ac:dyDescent="0.25">
      <c r="A102" t="s">
        <v>101</v>
      </c>
      <c r="B102" s="1">
        <v>0.24574074074074073</v>
      </c>
      <c r="C102" s="1">
        <v>0.1202199074074074</v>
      </c>
      <c r="D102">
        <v>59</v>
      </c>
      <c r="E102" s="2">
        <v>0.87050000000000005</v>
      </c>
      <c r="F102" s="2">
        <v>0.41310000000000002</v>
      </c>
      <c r="G102" s="2">
        <v>0.42209999999999998</v>
      </c>
      <c r="H102" s="2">
        <v>1.8700000000000001E-2</v>
      </c>
      <c r="I102" s="2">
        <v>4.9500000000000002E-2</v>
      </c>
      <c r="J102" s="2">
        <v>4.8300000000000003E-2</v>
      </c>
      <c r="K102" s="2">
        <v>0</v>
      </c>
      <c r="L102" s="2">
        <v>0.45700000000000002</v>
      </c>
      <c r="M102" s="2">
        <v>4.3E-3</v>
      </c>
      <c r="N102">
        <v>0</v>
      </c>
      <c r="O102">
        <v>6</v>
      </c>
      <c r="P102">
        <v>2</v>
      </c>
      <c r="Q102">
        <v>0</v>
      </c>
    </row>
    <row r="103" spans="1:17" x14ac:dyDescent="0.25">
      <c r="A103" t="s">
        <v>102</v>
      </c>
      <c r="B103" s="1">
        <v>0.34446759259259263</v>
      </c>
      <c r="C103" s="1">
        <v>0.18254629629629629</v>
      </c>
      <c r="D103">
        <v>60</v>
      </c>
      <c r="E103" s="2">
        <v>0.68130000000000002</v>
      </c>
      <c r="F103" s="2">
        <v>0.50480000000000003</v>
      </c>
      <c r="G103" s="2">
        <v>0.51500000000000001</v>
      </c>
      <c r="H103" s="2">
        <v>1E-4</v>
      </c>
      <c r="I103" s="2">
        <v>0.2442</v>
      </c>
      <c r="J103" s="2">
        <v>1.4800000000000001E-2</v>
      </c>
      <c r="K103" s="2">
        <v>0</v>
      </c>
      <c r="L103" s="2">
        <v>0.223</v>
      </c>
      <c r="M103" s="2">
        <v>2.8999999999999998E-3</v>
      </c>
      <c r="N103">
        <v>2</v>
      </c>
      <c r="O103">
        <v>1</v>
      </c>
      <c r="P103">
        <v>0</v>
      </c>
      <c r="Q103">
        <v>0</v>
      </c>
    </row>
    <row r="104" spans="1:17" x14ac:dyDescent="0.25">
      <c r="A104" t="s">
        <v>103</v>
      </c>
      <c r="B104" s="1">
        <v>0.34423611111111113</v>
      </c>
      <c r="C104" s="1">
        <v>0.18436342592592592</v>
      </c>
      <c r="D104">
        <v>61</v>
      </c>
      <c r="E104" s="2">
        <v>0.66400000000000003</v>
      </c>
      <c r="F104" s="2">
        <v>0.52390000000000003</v>
      </c>
      <c r="G104" s="2">
        <v>0.52800000000000002</v>
      </c>
      <c r="H104" s="2">
        <v>0</v>
      </c>
      <c r="I104" s="2">
        <v>0.2661</v>
      </c>
      <c r="J104" s="2">
        <v>7.6E-3</v>
      </c>
      <c r="K104" s="2">
        <v>0</v>
      </c>
      <c r="L104" s="2">
        <v>0.1956</v>
      </c>
      <c r="M104" s="2">
        <v>2.8E-3</v>
      </c>
      <c r="N104">
        <v>5</v>
      </c>
      <c r="O104">
        <v>0</v>
      </c>
      <c r="P104">
        <v>0</v>
      </c>
      <c r="Q104">
        <v>0</v>
      </c>
    </row>
    <row r="105" spans="1:17" x14ac:dyDescent="0.25">
      <c r="A105" t="s">
        <v>104</v>
      </c>
      <c r="B105" s="1">
        <v>0.34479166666666666</v>
      </c>
      <c r="C105" s="1">
        <v>0.10450231481481481</v>
      </c>
      <c r="D105">
        <v>62</v>
      </c>
      <c r="E105" s="2">
        <v>0.79400000000000004</v>
      </c>
      <c r="F105" s="2">
        <v>0.25440000000000002</v>
      </c>
      <c r="G105" s="2">
        <v>0.27710000000000001</v>
      </c>
      <c r="H105" s="2">
        <v>0</v>
      </c>
      <c r="I105" s="2">
        <v>7.51E-2</v>
      </c>
      <c r="J105" s="2">
        <v>2.5999999999999999E-2</v>
      </c>
      <c r="K105" s="2">
        <v>0</v>
      </c>
      <c r="L105" s="2">
        <v>0.62019999999999997</v>
      </c>
      <c r="M105" s="2">
        <v>1.6000000000000001E-3</v>
      </c>
      <c r="N105">
        <v>1</v>
      </c>
      <c r="O105">
        <v>4</v>
      </c>
      <c r="P105">
        <v>0</v>
      </c>
      <c r="Q105">
        <v>1</v>
      </c>
    </row>
    <row r="106" spans="1:17" x14ac:dyDescent="0.25">
      <c r="A106" t="s">
        <v>105</v>
      </c>
      <c r="B106" s="1">
        <v>0.33458333333333329</v>
      </c>
      <c r="C106" s="1">
        <v>0.20292824074074076</v>
      </c>
      <c r="D106">
        <v>63</v>
      </c>
      <c r="E106" s="2">
        <v>0.71319999999999995</v>
      </c>
      <c r="F106" s="2">
        <v>0.55520000000000003</v>
      </c>
      <c r="G106" s="2">
        <v>0.56320000000000003</v>
      </c>
      <c r="H106" s="2">
        <v>0</v>
      </c>
      <c r="I106" s="2">
        <v>0.2394</v>
      </c>
      <c r="J106" s="2">
        <v>4.3299999999999998E-2</v>
      </c>
      <c r="K106" s="2">
        <v>0</v>
      </c>
      <c r="L106" s="2">
        <v>0.1522</v>
      </c>
      <c r="M106" s="2">
        <v>1.9E-3</v>
      </c>
      <c r="N106">
        <v>3</v>
      </c>
      <c r="O106">
        <v>5</v>
      </c>
      <c r="P106">
        <v>0</v>
      </c>
      <c r="Q106">
        <v>1</v>
      </c>
    </row>
    <row r="107" spans="1:17" x14ac:dyDescent="0.25">
      <c r="A107" t="s">
        <v>106</v>
      </c>
      <c r="B107" s="1">
        <v>0.34524305555555551</v>
      </c>
      <c r="D107">
        <v>64</v>
      </c>
      <c r="G107" s="2">
        <v>0</v>
      </c>
      <c r="H107" s="2">
        <v>0</v>
      </c>
      <c r="I107" s="2">
        <v>2.9999999999999997E-4</v>
      </c>
      <c r="J107" s="2">
        <v>0</v>
      </c>
      <c r="K107" s="2">
        <v>0</v>
      </c>
      <c r="L107" s="2">
        <v>0.99970000000000003</v>
      </c>
      <c r="M107" s="2">
        <v>0</v>
      </c>
      <c r="N107">
        <v>0</v>
      </c>
      <c r="O107">
        <v>0</v>
      </c>
      <c r="P107">
        <v>0</v>
      </c>
      <c r="Q107">
        <v>0</v>
      </c>
    </row>
    <row r="108" spans="1:17" x14ac:dyDescent="0.25">
      <c r="A108" t="s">
        <v>107</v>
      </c>
      <c r="B108" s="1">
        <v>0.34424768518518517</v>
      </c>
      <c r="C108" s="1">
        <v>0.17256944444444444</v>
      </c>
      <c r="D108">
        <v>65</v>
      </c>
      <c r="E108" s="2">
        <v>0.67969999999999997</v>
      </c>
      <c r="F108" s="2">
        <v>0.47710000000000002</v>
      </c>
      <c r="G108" s="2">
        <v>0.47970000000000002</v>
      </c>
      <c r="H108" s="2">
        <v>1.1000000000000001E-3</v>
      </c>
      <c r="I108" s="2">
        <v>0.23330000000000001</v>
      </c>
      <c r="J108" s="2">
        <v>2.0500000000000001E-2</v>
      </c>
      <c r="K108" s="2">
        <v>0</v>
      </c>
      <c r="L108" s="2">
        <v>0.26279999999999998</v>
      </c>
      <c r="M108" s="2">
        <v>2.5999999999999999E-3</v>
      </c>
      <c r="N108">
        <v>3</v>
      </c>
      <c r="O108">
        <v>3</v>
      </c>
      <c r="P108">
        <v>1</v>
      </c>
      <c r="Q108">
        <v>0</v>
      </c>
    </row>
    <row r="109" spans="1:17" x14ac:dyDescent="0.25">
      <c r="A109" t="s">
        <v>108</v>
      </c>
      <c r="B109" s="1">
        <v>0.35488425925925932</v>
      </c>
      <c r="C109" s="1">
        <v>0.23307870370370373</v>
      </c>
      <c r="D109">
        <v>66</v>
      </c>
      <c r="E109" s="2">
        <v>0.73350000000000004</v>
      </c>
      <c r="F109" s="2">
        <v>0.61919999999999997</v>
      </c>
      <c r="G109" s="2">
        <v>0.62729999999999997</v>
      </c>
      <c r="H109" s="2">
        <v>8.9999999999999998E-4</v>
      </c>
      <c r="I109" s="2">
        <v>0.2326</v>
      </c>
      <c r="J109" s="2">
        <v>2.86E-2</v>
      </c>
      <c r="K109" s="2">
        <v>0</v>
      </c>
      <c r="L109" s="2">
        <v>0.1052</v>
      </c>
      <c r="M109" s="2">
        <v>5.4000000000000003E-3</v>
      </c>
      <c r="N109">
        <v>4</v>
      </c>
      <c r="O109">
        <v>4</v>
      </c>
      <c r="P109">
        <v>0</v>
      </c>
      <c r="Q109">
        <v>1</v>
      </c>
    </row>
    <row r="110" spans="1:17" x14ac:dyDescent="0.25">
      <c r="A110" t="s">
        <v>109</v>
      </c>
      <c r="B110" s="1">
        <v>0.33346064814814813</v>
      </c>
      <c r="C110" s="1">
        <v>0.2029050925925926</v>
      </c>
      <c r="D110">
        <v>67</v>
      </c>
      <c r="E110" s="2">
        <v>0.71079999999999999</v>
      </c>
      <c r="F110" s="2">
        <v>0.55310000000000004</v>
      </c>
      <c r="G110" s="2">
        <v>0.56459999999999999</v>
      </c>
      <c r="H110" s="2">
        <v>0</v>
      </c>
      <c r="I110" s="2">
        <v>0.24379999999999999</v>
      </c>
      <c r="J110" s="2">
        <v>4.3900000000000002E-2</v>
      </c>
      <c r="K110" s="2">
        <v>0</v>
      </c>
      <c r="L110" s="2">
        <v>0.14449999999999999</v>
      </c>
      <c r="M110" s="2">
        <v>3.2000000000000002E-3</v>
      </c>
      <c r="N110">
        <v>1</v>
      </c>
      <c r="O110">
        <v>7</v>
      </c>
      <c r="P110">
        <v>0</v>
      </c>
      <c r="Q110">
        <v>0</v>
      </c>
    </row>
    <row r="111" spans="1:17" x14ac:dyDescent="0.25">
      <c r="A111" t="s">
        <v>110</v>
      </c>
      <c r="B111" s="1">
        <v>0.34430555555555559</v>
      </c>
      <c r="C111" s="1">
        <v>0.20876157407407406</v>
      </c>
      <c r="D111">
        <v>68</v>
      </c>
      <c r="E111" s="2">
        <v>0.70350000000000001</v>
      </c>
      <c r="F111" s="2">
        <v>0.56200000000000006</v>
      </c>
      <c r="G111" s="2">
        <v>0.56599999999999995</v>
      </c>
      <c r="H111" s="2">
        <v>1E-4</v>
      </c>
      <c r="I111" s="2">
        <v>0.2525</v>
      </c>
      <c r="J111" s="2">
        <v>4.02E-2</v>
      </c>
      <c r="K111" s="2">
        <v>0</v>
      </c>
      <c r="L111" s="2">
        <v>0.13850000000000001</v>
      </c>
      <c r="M111" s="2">
        <v>2.7000000000000001E-3</v>
      </c>
      <c r="N111">
        <v>3</v>
      </c>
      <c r="O111">
        <v>6</v>
      </c>
      <c r="P111">
        <v>0</v>
      </c>
      <c r="Q111">
        <v>0</v>
      </c>
    </row>
    <row r="112" spans="1:17" x14ac:dyDescent="0.25">
      <c r="A112" t="s">
        <v>111</v>
      </c>
      <c r="B112" s="1">
        <v>0.34439814814814818</v>
      </c>
      <c r="C112" s="1">
        <v>0.19284722222222225</v>
      </c>
      <c r="D112">
        <v>69</v>
      </c>
      <c r="E112" s="2">
        <v>0.7349</v>
      </c>
      <c r="F112" s="2">
        <v>0.48780000000000001</v>
      </c>
      <c r="G112" s="2">
        <v>0.50470000000000004</v>
      </c>
      <c r="H112" s="2">
        <v>7.7999999999999996E-3</v>
      </c>
      <c r="I112" s="2">
        <v>0.1961</v>
      </c>
      <c r="J112" s="2">
        <v>4.7500000000000001E-2</v>
      </c>
      <c r="K112" s="2">
        <v>0</v>
      </c>
      <c r="L112" s="2">
        <v>0.2409</v>
      </c>
      <c r="M112" s="2">
        <v>3.0000000000000001E-3</v>
      </c>
      <c r="N112">
        <v>2</v>
      </c>
      <c r="O112">
        <v>6</v>
      </c>
      <c r="P112">
        <v>1</v>
      </c>
      <c r="Q112">
        <v>2</v>
      </c>
    </row>
    <row r="113" spans="1:17" x14ac:dyDescent="0.25">
      <c r="A113" t="s">
        <v>112</v>
      </c>
      <c r="B113" s="1">
        <v>0.34435185185185185</v>
      </c>
      <c r="C113" s="1">
        <v>0.20849537037037036</v>
      </c>
      <c r="D113">
        <v>70</v>
      </c>
      <c r="E113" s="2">
        <v>0.70330000000000004</v>
      </c>
      <c r="F113" s="2">
        <v>0.55410000000000004</v>
      </c>
      <c r="G113" s="2">
        <v>0.56330000000000002</v>
      </c>
      <c r="H113" s="2">
        <v>1.1000000000000001E-3</v>
      </c>
      <c r="I113" s="2">
        <v>0.24590000000000001</v>
      </c>
      <c r="J113" s="2">
        <v>4.1000000000000002E-2</v>
      </c>
      <c r="K113" s="2">
        <v>0</v>
      </c>
      <c r="L113" s="2">
        <v>0.1406</v>
      </c>
      <c r="M113" s="2">
        <v>8.0000000000000002E-3</v>
      </c>
      <c r="N113">
        <v>3</v>
      </c>
      <c r="O113">
        <v>7</v>
      </c>
      <c r="P113">
        <v>1</v>
      </c>
      <c r="Q113">
        <v>0</v>
      </c>
    </row>
    <row r="114" spans="1:17" x14ac:dyDescent="0.25">
      <c r="A114" t="s">
        <v>113</v>
      </c>
      <c r="B114" s="1">
        <v>0.33491898148148147</v>
      </c>
      <c r="C114" s="1">
        <v>0.21258101851851852</v>
      </c>
      <c r="D114">
        <v>71</v>
      </c>
      <c r="E114" s="2">
        <v>0.74219999999999997</v>
      </c>
      <c r="F114" s="2">
        <v>0.58650000000000002</v>
      </c>
      <c r="G114" s="2">
        <v>0.59619999999999995</v>
      </c>
      <c r="H114" s="2">
        <v>1E-4</v>
      </c>
      <c r="I114" s="2">
        <v>0.2175</v>
      </c>
      <c r="J114" s="2">
        <v>3.85E-2</v>
      </c>
      <c r="K114" s="2">
        <v>0</v>
      </c>
      <c r="L114" s="2">
        <v>0.1457</v>
      </c>
      <c r="M114" s="2">
        <v>2.0999999999999999E-3</v>
      </c>
      <c r="N114">
        <v>2</v>
      </c>
      <c r="O114">
        <v>6</v>
      </c>
      <c r="P114">
        <v>0</v>
      </c>
      <c r="Q114">
        <v>0</v>
      </c>
    </row>
    <row r="115" spans="1:17" x14ac:dyDescent="0.25">
      <c r="A115" t="s">
        <v>114</v>
      </c>
      <c r="B115" s="1">
        <v>0.34442129629629631</v>
      </c>
      <c r="C115" s="1">
        <v>0.22203703703703703</v>
      </c>
      <c r="D115">
        <v>72</v>
      </c>
      <c r="E115" s="2">
        <v>0.75729999999999997</v>
      </c>
      <c r="F115" s="2">
        <v>0.58169999999999999</v>
      </c>
      <c r="G115" s="2">
        <v>0.59160000000000001</v>
      </c>
      <c r="H115" s="2">
        <v>2.9999999999999997E-4</v>
      </c>
      <c r="I115" s="2">
        <v>0.2036</v>
      </c>
      <c r="J115" s="2">
        <v>5.28E-2</v>
      </c>
      <c r="K115" s="2">
        <v>0</v>
      </c>
      <c r="L115" s="2">
        <v>0.14910000000000001</v>
      </c>
      <c r="M115" s="2">
        <v>2.7000000000000001E-3</v>
      </c>
      <c r="N115">
        <v>3</v>
      </c>
      <c r="O115">
        <v>9</v>
      </c>
      <c r="P115">
        <v>0</v>
      </c>
      <c r="Q115">
        <v>4</v>
      </c>
    </row>
    <row r="116" spans="1:17" x14ac:dyDescent="0.25">
      <c r="A116" t="s">
        <v>115</v>
      </c>
      <c r="B116" s="1">
        <v>0.33370370370370367</v>
      </c>
      <c r="C116" s="1">
        <v>0.21053240740740742</v>
      </c>
      <c r="D116">
        <v>73</v>
      </c>
      <c r="E116" s="2">
        <v>0.73750000000000004</v>
      </c>
      <c r="F116" s="2">
        <v>0.5907</v>
      </c>
      <c r="G116" s="2">
        <v>0.6048</v>
      </c>
      <c r="H116" s="2">
        <v>1E-4</v>
      </c>
      <c r="I116" s="2">
        <v>0.21890000000000001</v>
      </c>
      <c r="J116" s="2">
        <v>2.5999999999999999E-2</v>
      </c>
      <c r="K116" s="2">
        <v>0</v>
      </c>
      <c r="L116" s="2">
        <v>0.14530000000000001</v>
      </c>
      <c r="M116" s="2">
        <v>5.0000000000000001E-3</v>
      </c>
      <c r="N116">
        <v>2</v>
      </c>
      <c r="O116">
        <v>4</v>
      </c>
      <c r="P116">
        <v>0</v>
      </c>
      <c r="Q116">
        <v>0</v>
      </c>
    </row>
    <row r="117" spans="1:17" x14ac:dyDescent="0.25">
      <c r="A117" t="s">
        <v>116</v>
      </c>
      <c r="B117" s="1">
        <v>0.34518518518518521</v>
      </c>
      <c r="C117" s="1">
        <v>0.21524305555555556</v>
      </c>
      <c r="D117">
        <v>74</v>
      </c>
      <c r="E117" s="2">
        <v>0.72640000000000005</v>
      </c>
      <c r="F117" s="2">
        <v>0.58640000000000003</v>
      </c>
      <c r="G117" s="2">
        <v>0.58720000000000006</v>
      </c>
      <c r="H117" s="2">
        <v>1.5E-3</v>
      </c>
      <c r="I117" s="2">
        <v>0.23230000000000001</v>
      </c>
      <c r="J117" s="2">
        <v>3.49E-2</v>
      </c>
      <c r="K117" s="2">
        <v>0</v>
      </c>
      <c r="L117" s="2">
        <v>0.14280000000000001</v>
      </c>
      <c r="M117" s="2">
        <v>1.4E-3</v>
      </c>
      <c r="N117">
        <v>4</v>
      </c>
      <c r="O117">
        <v>4</v>
      </c>
      <c r="P117">
        <v>1</v>
      </c>
      <c r="Q117">
        <v>0</v>
      </c>
    </row>
    <row r="118" spans="1:17" x14ac:dyDescent="0.25">
      <c r="A118" t="s">
        <v>117</v>
      </c>
      <c r="B118" s="1">
        <v>0.3354050925925926</v>
      </c>
      <c r="C118" s="1">
        <v>0.19744212962962962</v>
      </c>
      <c r="D118">
        <v>75</v>
      </c>
      <c r="E118" s="2">
        <v>0.68830000000000002</v>
      </c>
      <c r="F118" s="2">
        <v>0.54649999999999999</v>
      </c>
      <c r="G118" s="2">
        <v>0.54959999999999998</v>
      </c>
      <c r="H118" s="2">
        <v>5.0000000000000001E-4</v>
      </c>
      <c r="I118" s="2">
        <v>0.26069999999999999</v>
      </c>
      <c r="J118" s="2">
        <v>3.8600000000000002E-2</v>
      </c>
      <c r="K118" s="2">
        <v>0</v>
      </c>
      <c r="L118" s="2">
        <v>0.14910000000000001</v>
      </c>
      <c r="M118" s="2">
        <v>1.6000000000000001E-3</v>
      </c>
      <c r="N118">
        <v>2</v>
      </c>
      <c r="O118">
        <v>6</v>
      </c>
      <c r="P118">
        <v>0</v>
      </c>
      <c r="Q118">
        <v>2</v>
      </c>
    </row>
    <row r="119" spans="1:17" x14ac:dyDescent="0.25">
      <c r="A119" t="s">
        <v>118</v>
      </c>
      <c r="B119" s="1">
        <v>0.33627314814814818</v>
      </c>
      <c r="C119" s="1">
        <v>0.18991898148148148</v>
      </c>
      <c r="D119">
        <v>76</v>
      </c>
      <c r="E119" s="2">
        <v>0.69669999999999999</v>
      </c>
      <c r="F119" s="2">
        <v>0.53239999999999998</v>
      </c>
      <c r="G119" s="2">
        <v>0.55589999999999995</v>
      </c>
      <c r="H119" s="2">
        <v>1E-4</v>
      </c>
      <c r="I119" s="2">
        <v>0.24199999999999999</v>
      </c>
      <c r="J119" s="2">
        <v>8.8000000000000005E-3</v>
      </c>
      <c r="K119" s="2">
        <v>0</v>
      </c>
      <c r="L119" s="2">
        <v>0.1913</v>
      </c>
      <c r="M119" s="2">
        <v>2E-3</v>
      </c>
      <c r="N119">
        <v>1</v>
      </c>
      <c r="O119">
        <v>0</v>
      </c>
      <c r="P119">
        <v>0</v>
      </c>
      <c r="Q119">
        <v>0</v>
      </c>
    </row>
    <row r="120" spans="1:17" x14ac:dyDescent="0.25">
      <c r="A120" t="s">
        <v>119</v>
      </c>
      <c r="B120" s="1">
        <v>0.33471064814814816</v>
      </c>
      <c r="C120" s="1">
        <v>0.18868055555555555</v>
      </c>
      <c r="D120">
        <v>77</v>
      </c>
      <c r="E120" s="2">
        <v>0.71030000000000004</v>
      </c>
      <c r="F120" s="2">
        <v>0.47020000000000001</v>
      </c>
      <c r="G120" s="2">
        <v>0.48559999999999998</v>
      </c>
      <c r="H120" s="2">
        <v>1.95E-2</v>
      </c>
      <c r="I120" s="2">
        <v>0.20979999999999999</v>
      </c>
      <c r="J120" s="2">
        <v>5.8200000000000002E-2</v>
      </c>
      <c r="K120" s="2">
        <v>0</v>
      </c>
      <c r="L120" s="2">
        <v>0.21909999999999999</v>
      </c>
      <c r="M120" s="2">
        <v>7.7999999999999996E-3</v>
      </c>
      <c r="N120">
        <v>1</v>
      </c>
      <c r="O120">
        <v>7</v>
      </c>
      <c r="P120">
        <v>3</v>
      </c>
      <c r="Q120">
        <v>2</v>
      </c>
    </row>
    <row r="121" spans="1:17" x14ac:dyDescent="0.25">
      <c r="A121" t="s">
        <v>120</v>
      </c>
      <c r="B121" s="1">
        <v>0.33974537037037034</v>
      </c>
      <c r="C121" s="1">
        <v>0.20261574074074074</v>
      </c>
      <c r="D121">
        <v>78</v>
      </c>
      <c r="E121" s="2">
        <v>0.69220000000000004</v>
      </c>
      <c r="F121" s="2">
        <v>0.54630000000000001</v>
      </c>
      <c r="G121" s="2">
        <v>0.56850000000000001</v>
      </c>
      <c r="H121" s="2">
        <v>0</v>
      </c>
      <c r="I121" s="2">
        <v>0.2596</v>
      </c>
      <c r="J121" s="2">
        <v>2.7900000000000001E-2</v>
      </c>
      <c r="K121" s="2">
        <v>0</v>
      </c>
      <c r="L121" s="2">
        <v>0.1406</v>
      </c>
      <c r="M121" s="2">
        <v>3.3999999999999998E-3</v>
      </c>
      <c r="N121">
        <v>0</v>
      </c>
      <c r="O121">
        <v>2</v>
      </c>
      <c r="P121">
        <v>0</v>
      </c>
      <c r="Q121">
        <v>0</v>
      </c>
    </row>
    <row r="122" spans="1:17" x14ac:dyDescent="0.25">
      <c r="A122" t="s">
        <v>121</v>
      </c>
      <c r="B122" s="1">
        <v>0.34557870370370369</v>
      </c>
      <c r="C122" s="1">
        <v>0.1431597222222222</v>
      </c>
      <c r="D122">
        <v>79</v>
      </c>
      <c r="E122" s="2">
        <v>0.74490000000000001</v>
      </c>
      <c r="F122" s="2">
        <v>0.38819999999999999</v>
      </c>
      <c r="G122" s="2">
        <v>0.3891</v>
      </c>
      <c r="H122" s="2">
        <v>0</v>
      </c>
      <c r="I122" s="2">
        <v>0.1361</v>
      </c>
      <c r="J122" s="2">
        <v>2.5100000000000001E-2</v>
      </c>
      <c r="K122" s="2">
        <v>0</v>
      </c>
      <c r="L122" s="2">
        <v>0.44829999999999998</v>
      </c>
      <c r="M122" s="2">
        <v>1.2999999999999999E-3</v>
      </c>
      <c r="N122">
        <v>2</v>
      </c>
      <c r="O122">
        <v>3</v>
      </c>
      <c r="P122">
        <v>0</v>
      </c>
      <c r="Q122">
        <v>0</v>
      </c>
    </row>
    <row r="123" spans="1:17" x14ac:dyDescent="0.25">
      <c r="A123" t="s">
        <v>122</v>
      </c>
      <c r="B123" s="1">
        <v>0.33189814814814816</v>
      </c>
      <c r="C123" s="1">
        <v>0.1439236111111111</v>
      </c>
      <c r="D123">
        <v>80</v>
      </c>
      <c r="E123" s="2">
        <v>0.73150000000000004</v>
      </c>
      <c r="F123" s="2">
        <v>0.40279999999999999</v>
      </c>
      <c r="G123" s="2">
        <v>0.41399999999999998</v>
      </c>
      <c r="H123" s="2">
        <v>2.0000000000000001E-4</v>
      </c>
      <c r="I123" s="2">
        <v>0.15390000000000001</v>
      </c>
      <c r="J123" s="2">
        <v>1.9400000000000001E-2</v>
      </c>
      <c r="K123" s="2">
        <v>0</v>
      </c>
      <c r="L123" s="2">
        <v>0.40820000000000001</v>
      </c>
      <c r="M123" s="2">
        <v>4.3E-3</v>
      </c>
      <c r="N123">
        <v>1</v>
      </c>
      <c r="O123">
        <v>1</v>
      </c>
      <c r="P123">
        <v>0</v>
      </c>
      <c r="Q123">
        <v>0</v>
      </c>
    </row>
    <row r="124" spans="1:17" x14ac:dyDescent="0.25">
      <c r="A124" t="s">
        <v>123</v>
      </c>
      <c r="B124" s="1">
        <v>0.34369212962962964</v>
      </c>
      <c r="C124" s="1">
        <v>0.22164351851851852</v>
      </c>
      <c r="D124">
        <v>81</v>
      </c>
      <c r="E124" s="2">
        <v>0.74919999999999998</v>
      </c>
      <c r="F124" s="2">
        <v>0.54349999999999998</v>
      </c>
      <c r="G124" s="2">
        <v>0.57599999999999996</v>
      </c>
      <c r="H124" s="2">
        <v>1E-4</v>
      </c>
      <c r="I124" s="2">
        <v>0.20880000000000001</v>
      </c>
      <c r="J124" s="2">
        <v>6.8900000000000003E-2</v>
      </c>
      <c r="K124" s="2">
        <v>0</v>
      </c>
      <c r="L124" s="2">
        <v>0.1414</v>
      </c>
      <c r="M124" s="2">
        <v>4.8999999999999998E-3</v>
      </c>
      <c r="N124">
        <v>1</v>
      </c>
      <c r="O124">
        <v>10</v>
      </c>
      <c r="P124">
        <v>0</v>
      </c>
      <c r="Q124">
        <v>0</v>
      </c>
    </row>
    <row r="125" spans="1:17" x14ac:dyDescent="0.25">
      <c r="A125" t="s">
        <v>124</v>
      </c>
      <c r="B125" s="1">
        <v>0.3548263888888889</v>
      </c>
      <c r="C125" s="1">
        <v>0.15355324074074075</v>
      </c>
      <c r="D125">
        <v>82</v>
      </c>
      <c r="E125" s="2">
        <v>0.48110000000000003</v>
      </c>
      <c r="F125" s="2">
        <v>0.28370000000000001</v>
      </c>
      <c r="G125" s="2">
        <v>0.3105</v>
      </c>
      <c r="H125" s="2">
        <v>2E-3</v>
      </c>
      <c r="I125" s="2">
        <v>0.4461</v>
      </c>
      <c r="J125" s="2">
        <v>0.1203</v>
      </c>
      <c r="K125" s="2">
        <v>0</v>
      </c>
      <c r="L125" s="2">
        <v>0.1089</v>
      </c>
      <c r="M125" s="2">
        <v>1.2200000000000001E-2</v>
      </c>
      <c r="N125">
        <v>0</v>
      </c>
      <c r="O125">
        <v>13</v>
      </c>
      <c r="P125">
        <v>0</v>
      </c>
      <c r="Q125">
        <v>2</v>
      </c>
    </row>
    <row r="126" spans="1:17" x14ac:dyDescent="0.25">
      <c r="A126" t="s">
        <v>125</v>
      </c>
      <c r="B126" s="1">
        <v>0.36775462962962963</v>
      </c>
      <c r="C126" s="1">
        <v>0.21557870370370369</v>
      </c>
      <c r="D126">
        <v>83</v>
      </c>
      <c r="E126" s="2">
        <v>0.72350000000000003</v>
      </c>
      <c r="F126" s="2">
        <v>0.56200000000000006</v>
      </c>
      <c r="G126" s="2">
        <v>0.5645</v>
      </c>
      <c r="H126" s="2">
        <v>2.8999999999999998E-3</v>
      </c>
      <c r="I126" s="2">
        <v>0.21740000000000001</v>
      </c>
      <c r="J126" s="2">
        <v>1.8800000000000001E-2</v>
      </c>
      <c r="K126" s="2">
        <v>0</v>
      </c>
      <c r="L126" s="2">
        <v>0.19170000000000001</v>
      </c>
      <c r="M126" s="2">
        <v>4.7999999999999996E-3</v>
      </c>
      <c r="N126">
        <v>1</v>
      </c>
      <c r="O126">
        <v>2</v>
      </c>
      <c r="P126">
        <v>1</v>
      </c>
      <c r="Q126">
        <v>0</v>
      </c>
    </row>
    <row r="127" spans="1:17" x14ac:dyDescent="0.25">
      <c r="A127" t="s">
        <v>126</v>
      </c>
      <c r="B127" s="1">
        <v>0.35119212962962965</v>
      </c>
      <c r="C127" s="1">
        <v>0.15380787037037039</v>
      </c>
      <c r="D127">
        <v>84</v>
      </c>
      <c r="E127" s="2">
        <v>0.73119999999999996</v>
      </c>
      <c r="F127" s="2">
        <v>0.40329999999999999</v>
      </c>
      <c r="G127" s="2">
        <v>0.40629999999999999</v>
      </c>
      <c r="H127" s="2">
        <v>0</v>
      </c>
      <c r="I127" s="2">
        <v>0.15770000000000001</v>
      </c>
      <c r="J127" s="2">
        <v>3.1600000000000003E-2</v>
      </c>
      <c r="K127" s="2">
        <v>0</v>
      </c>
      <c r="L127" s="2">
        <v>0.40300000000000002</v>
      </c>
      <c r="M127" s="2">
        <v>1.2999999999999999E-3</v>
      </c>
      <c r="N127">
        <v>0</v>
      </c>
      <c r="O127">
        <v>5</v>
      </c>
      <c r="P127">
        <v>0</v>
      </c>
      <c r="Q127">
        <v>0</v>
      </c>
    </row>
    <row r="128" spans="1:17" x14ac:dyDescent="0.25">
      <c r="A128" t="s">
        <v>127</v>
      </c>
      <c r="B128" s="1">
        <v>0.34143518518518517</v>
      </c>
      <c r="C128" s="1">
        <v>0.17545138888888889</v>
      </c>
      <c r="D128">
        <v>85</v>
      </c>
      <c r="E128" s="2">
        <v>0.71050000000000002</v>
      </c>
      <c r="F128" s="2">
        <v>0.438</v>
      </c>
      <c r="G128" s="2">
        <v>0.46639999999999998</v>
      </c>
      <c r="H128" s="2">
        <v>6.4999999999999997E-3</v>
      </c>
      <c r="I128" s="2">
        <v>0.20180000000000001</v>
      </c>
      <c r="J128" s="2">
        <v>4.0899999999999999E-2</v>
      </c>
      <c r="K128" s="2">
        <v>0</v>
      </c>
      <c r="L128" s="2">
        <v>0.28029999999999999</v>
      </c>
      <c r="M128" s="2">
        <v>4.0000000000000001E-3</v>
      </c>
      <c r="N128">
        <v>0</v>
      </c>
      <c r="O128">
        <v>6</v>
      </c>
      <c r="P128">
        <v>1</v>
      </c>
      <c r="Q128">
        <v>1</v>
      </c>
    </row>
    <row r="129" spans="1:17" x14ac:dyDescent="0.25">
      <c r="A129" t="s">
        <v>128</v>
      </c>
      <c r="B129" s="1">
        <v>0.34533564814814816</v>
      </c>
      <c r="C129" s="1">
        <v>0.20476851851851852</v>
      </c>
      <c r="D129">
        <v>86</v>
      </c>
      <c r="E129" s="2">
        <v>0.68889999999999996</v>
      </c>
      <c r="F129" s="2">
        <v>0.55579999999999996</v>
      </c>
      <c r="G129" s="2">
        <v>0.55969999999999998</v>
      </c>
      <c r="H129" s="2">
        <v>5.9999999999999995E-4</v>
      </c>
      <c r="I129" s="2">
        <v>0.2447</v>
      </c>
      <c r="J129" s="2">
        <v>3.2599999999999997E-2</v>
      </c>
      <c r="K129" s="2">
        <v>0</v>
      </c>
      <c r="L129" s="2">
        <v>0.15989999999999999</v>
      </c>
      <c r="M129" s="2">
        <v>2.3999999999999998E-3</v>
      </c>
      <c r="N129">
        <v>4</v>
      </c>
      <c r="O129">
        <v>4</v>
      </c>
      <c r="P129">
        <v>0</v>
      </c>
      <c r="Q129">
        <v>0</v>
      </c>
    </row>
    <row r="130" spans="1:17" x14ac:dyDescent="0.25">
      <c r="A130" t="s">
        <v>129</v>
      </c>
      <c r="B130" s="1">
        <v>0.34416666666666668</v>
      </c>
      <c r="C130" s="1">
        <v>0.12054398148148149</v>
      </c>
      <c r="D130">
        <v>87</v>
      </c>
      <c r="E130" s="2">
        <v>0.78139999999999998</v>
      </c>
      <c r="F130" s="2">
        <v>0.32600000000000001</v>
      </c>
      <c r="G130" s="2">
        <v>0.34320000000000001</v>
      </c>
      <c r="H130" s="2">
        <v>1E-3</v>
      </c>
      <c r="I130" s="2">
        <v>8.7800000000000003E-2</v>
      </c>
      <c r="J130" s="2">
        <v>6.1000000000000004E-3</v>
      </c>
      <c r="K130" s="2">
        <v>0</v>
      </c>
      <c r="L130" s="2">
        <v>0.55610000000000004</v>
      </c>
      <c r="M130" s="2">
        <v>5.8999999999999999E-3</v>
      </c>
      <c r="N130">
        <v>0</v>
      </c>
      <c r="O130">
        <v>0</v>
      </c>
      <c r="P130">
        <v>0</v>
      </c>
      <c r="Q130">
        <v>0</v>
      </c>
    </row>
    <row r="131" spans="1:17" x14ac:dyDescent="0.25">
      <c r="A131" t="s">
        <v>130</v>
      </c>
      <c r="B131" s="1">
        <v>0.33975694444444443</v>
      </c>
      <c r="C131" s="1">
        <v>0.21278935185185185</v>
      </c>
      <c r="D131">
        <v>88</v>
      </c>
      <c r="E131" s="2">
        <v>0.73029999999999995</v>
      </c>
      <c r="F131" s="2">
        <v>0.57399999999999995</v>
      </c>
      <c r="G131" s="2">
        <v>0.58289999999999997</v>
      </c>
      <c r="H131" s="2">
        <v>0</v>
      </c>
      <c r="I131" s="2">
        <v>0.22900000000000001</v>
      </c>
      <c r="J131" s="2">
        <v>4.3400000000000001E-2</v>
      </c>
      <c r="K131" s="2">
        <v>0</v>
      </c>
      <c r="L131" s="2">
        <v>0.14280000000000001</v>
      </c>
      <c r="M131" s="2">
        <v>1.9E-3</v>
      </c>
      <c r="N131">
        <v>4</v>
      </c>
      <c r="O131">
        <v>4</v>
      </c>
      <c r="P131">
        <v>0</v>
      </c>
      <c r="Q131">
        <v>2</v>
      </c>
    </row>
    <row r="132" spans="1:17" x14ac:dyDescent="0.25">
      <c r="A132" t="s">
        <v>131</v>
      </c>
      <c r="B132" s="1">
        <v>0.33380787037037035</v>
      </c>
      <c r="C132" s="1">
        <v>0.1744212962962963</v>
      </c>
      <c r="D132">
        <v>89</v>
      </c>
      <c r="E132" s="2">
        <v>0.69059999999999999</v>
      </c>
      <c r="F132" s="2">
        <v>0.4536</v>
      </c>
      <c r="G132" s="2">
        <v>0.48349999999999999</v>
      </c>
      <c r="H132" s="2">
        <v>8.3000000000000001E-3</v>
      </c>
      <c r="I132" s="2">
        <v>0.23019999999999999</v>
      </c>
      <c r="J132" s="2">
        <v>3.0700000000000002E-2</v>
      </c>
      <c r="K132" s="2">
        <v>0</v>
      </c>
      <c r="L132" s="2">
        <v>0.24390000000000001</v>
      </c>
      <c r="M132" s="2">
        <v>3.3E-3</v>
      </c>
      <c r="N132">
        <v>1</v>
      </c>
      <c r="O132">
        <v>6</v>
      </c>
      <c r="P132">
        <v>1</v>
      </c>
      <c r="Q132">
        <v>0</v>
      </c>
    </row>
    <row r="133" spans="1:17" x14ac:dyDescent="0.25">
      <c r="A133" t="s">
        <v>132</v>
      </c>
      <c r="B133" s="1">
        <v>0.34012731481481479</v>
      </c>
      <c r="C133" s="1">
        <v>0.11028935185185185</v>
      </c>
      <c r="D133">
        <v>90</v>
      </c>
      <c r="E133" s="2">
        <v>0.73929999999999996</v>
      </c>
      <c r="F133" s="2">
        <v>0.2969</v>
      </c>
      <c r="G133" s="2">
        <v>0.30159999999999998</v>
      </c>
      <c r="H133" s="2">
        <v>0</v>
      </c>
      <c r="I133" s="2">
        <v>9.0999999999999998E-2</v>
      </c>
      <c r="J133" s="2">
        <v>2.2700000000000001E-2</v>
      </c>
      <c r="K133" s="2">
        <v>0</v>
      </c>
      <c r="L133" s="2">
        <v>0.56420000000000003</v>
      </c>
      <c r="M133" s="2">
        <v>2.06E-2</v>
      </c>
      <c r="N133">
        <v>1</v>
      </c>
      <c r="O133">
        <v>4</v>
      </c>
      <c r="P133">
        <v>0</v>
      </c>
      <c r="Q133">
        <v>1</v>
      </c>
    </row>
    <row r="134" spans="1:17" x14ac:dyDescent="0.25">
      <c r="A134" t="s">
        <v>133</v>
      </c>
      <c r="B134" s="1">
        <v>0.33354166666666668</v>
      </c>
      <c r="C134" s="1">
        <v>0.19138888888888891</v>
      </c>
      <c r="D134">
        <v>91</v>
      </c>
      <c r="E134" s="2">
        <v>0.67500000000000004</v>
      </c>
      <c r="F134" s="2">
        <v>0.55730000000000002</v>
      </c>
      <c r="G134" s="2">
        <v>0.56130000000000002</v>
      </c>
      <c r="H134" s="2">
        <v>0</v>
      </c>
      <c r="I134" s="2">
        <v>0.26840000000000003</v>
      </c>
      <c r="J134" s="2">
        <v>1.2500000000000001E-2</v>
      </c>
      <c r="K134" s="2">
        <v>0</v>
      </c>
      <c r="L134" s="2">
        <v>0.15490000000000001</v>
      </c>
      <c r="M134" s="2">
        <v>2.8E-3</v>
      </c>
      <c r="N134">
        <v>1</v>
      </c>
      <c r="O134">
        <v>0</v>
      </c>
      <c r="P134">
        <v>0</v>
      </c>
      <c r="Q134">
        <v>0</v>
      </c>
    </row>
    <row r="135" spans="1:17" x14ac:dyDescent="0.25">
      <c r="A135" t="s">
        <v>134</v>
      </c>
      <c r="B135" s="1">
        <v>0.3357175925925926</v>
      </c>
      <c r="C135" s="1">
        <v>0.12403935185185185</v>
      </c>
      <c r="D135">
        <v>92</v>
      </c>
      <c r="E135" s="2">
        <v>0.71509999999999996</v>
      </c>
      <c r="F135" s="2">
        <v>0.33279999999999998</v>
      </c>
      <c r="G135" s="2">
        <v>0.3377</v>
      </c>
      <c r="H135" s="2">
        <v>2.9999999999999997E-4</v>
      </c>
      <c r="I135" s="2">
        <v>0.1348</v>
      </c>
      <c r="J135" s="2">
        <v>3.15E-2</v>
      </c>
      <c r="K135" s="2">
        <v>0</v>
      </c>
      <c r="L135" s="2">
        <v>0.49009999999999998</v>
      </c>
      <c r="M135" s="2">
        <v>5.5999999999999999E-3</v>
      </c>
      <c r="N135">
        <v>0</v>
      </c>
      <c r="O135">
        <v>5</v>
      </c>
      <c r="P135">
        <v>0</v>
      </c>
      <c r="Q135">
        <v>0</v>
      </c>
    </row>
    <row r="136" spans="1:17" x14ac:dyDescent="0.25">
      <c r="A136" t="s">
        <v>135</v>
      </c>
      <c r="B136" s="1">
        <v>0.33687500000000004</v>
      </c>
      <c r="C136" s="1">
        <v>0.17017361111111109</v>
      </c>
      <c r="D136">
        <v>93</v>
      </c>
      <c r="E136" s="2">
        <v>0.70309999999999995</v>
      </c>
      <c r="F136" s="2">
        <v>0.4723</v>
      </c>
      <c r="G136" s="2">
        <v>0.48070000000000002</v>
      </c>
      <c r="H136" s="2">
        <v>5.5999999999999999E-3</v>
      </c>
      <c r="I136" s="2">
        <v>0.2107</v>
      </c>
      <c r="J136" s="2">
        <v>1.89E-2</v>
      </c>
      <c r="K136" s="2">
        <v>0</v>
      </c>
      <c r="L136" s="2">
        <v>0.28210000000000002</v>
      </c>
      <c r="M136" s="2">
        <v>2E-3</v>
      </c>
      <c r="N136">
        <v>0</v>
      </c>
      <c r="O136">
        <v>2</v>
      </c>
      <c r="P136">
        <v>2</v>
      </c>
      <c r="Q136">
        <v>0</v>
      </c>
    </row>
    <row r="137" spans="1:17" x14ac:dyDescent="0.25">
      <c r="A137" t="s">
        <v>136</v>
      </c>
      <c r="B137" s="1">
        <v>0.33709490740740744</v>
      </c>
      <c r="C137" s="1">
        <v>0.18885416666666666</v>
      </c>
      <c r="D137">
        <v>94</v>
      </c>
      <c r="E137" s="2">
        <v>0.75770000000000004</v>
      </c>
      <c r="F137" s="2">
        <v>0.5111</v>
      </c>
      <c r="G137" s="2">
        <v>0.51949999999999996</v>
      </c>
      <c r="H137" s="2">
        <v>2E-3</v>
      </c>
      <c r="I137" s="2">
        <v>0.1744</v>
      </c>
      <c r="J137" s="2">
        <v>3.8800000000000001E-2</v>
      </c>
      <c r="K137" s="2">
        <v>0</v>
      </c>
      <c r="L137" s="2">
        <v>0.26100000000000001</v>
      </c>
      <c r="M137" s="2">
        <v>4.3E-3</v>
      </c>
      <c r="N137">
        <v>1</v>
      </c>
      <c r="O137">
        <v>5</v>
      </c>
      <c r="P137">
        <v>0</v>
      </c>
      <c r="Q137">
        <v>0</v>
      </c>
    </row>
    <row r="138" spans="1:17" x14ac:dyDescent="0.25">
      <c r="A138" t="s">
        <v>137</v>
      </c>
      <c r="B138" s="1">
        <v>0.34307870370370369</v>
      </c>
      <c r="C138" s="1">
        <v>0.22166666666666668</v>
      </c>
      <c r="D138">
        <v>95</v>
      </c>
      <c r="E138" s="2">
        <v>0.74880000000000002</v>
      </c>
      <c r="F138" s="2">
        <v>0.58889999999999998</v>
      </c>
      <c r="G138" s="2">
        <v>0.59870000000000001</v>
      </c>
      <c r="H138" s="2">
        <v>1E-4</v>
      </c>
      <c r="I138" s="2">
        <v>0.20699999999999999</v>
      </c>
      <c r="J138" s="2">
        <v>4.7300000000000002E-2</v>
      </c>
      <c r="K138" s="2">
        <v>0</v>
      </c>
      <c r="L138" s="2">
        <v>0.1381</v>
      </c>
      <c r="M138" s="2">
        <v>8.6999999999999994E-3</v>
      </c>
      <c r="N138">
        <v>2</v>
      </c>
      <c r="O138">
        <v>5</v>
      </c>
      <c r="P138">
        <v>0</v>
      </c>
      <c r="Q138">
        <v>0</v>
      </c>
    </row>
    <row r="139" spans="1:17" x14ac:dyDescent="0.25">
      <c r="A139" t="s">
        <v>138</v>
      </c>
      <c r="B139" s="1">
        <v>0.31192129629629628</v>
      </c>
      <c r="C139" s="1">
        <v>0.12112268518518519</v>
      </c>
      <c r="D139">
        <v>96</v>
      </c>
      <c r="E139" s="2">
        <v>0.78180000000000005</v>
      </c>
      <c r="F139" s="2">
        <v>0.34289999999999998</v>
      </c>
      <c r="G139" s="2">
        <v>0.34589999999999999</v>
      </c>
      <c r="H139" s="2">
        <v>0</v>
      </c>
      <c r="I139" s="2">
        <v>0.1038</v>
      </c>
      <c r="J139" s="2">
        <v>4.24E-2</v>
      </c>
      <c r="K139" s="2">
        <v>0</v>
      </c>
      <c r="L139" s="2">
        <v>0.50509999999999999</v>
      </c>
      <c r="M139" s="2">
        <v>2.8E-3</v>
      </c>
      <c r="N139">
        <v>0</v>
      </c>
      <c r="O139">
        <v>5</v>
      </c>
      <c r="P139">
        <v>0</v>
      </c>
      <c r="Q139">
        <v>0</v>
      </c>
    </row>
    <row r="140" spans="1:17" x14ac:dyDescent="0.25">
      <c r="A140" t="s">
        <v>139</v>
      </c>
      <c r="B140" s="1">
        <v>0.35686342592592596</v>
      </c>
      <c r="C140" s="1">
        <v>0.19224537037037037</v>
      </c>
      <c r="D140">
        <v>97</v>
      </c>
      <c r="E140" s="2">
        <v>0.73080000000000001</v>
      </c>
      <c r="F140" s="2">
        <v>0.4975</v>
      </c>
      <c r="G140" s="2">
        <v>0.5</v>
      </c>
      <c r="H140" s="2">
        <v>2.9999999999999997E-4</v>
      </c>
      <c r="I140" s="2">
        <v>0.19059999999999999</v>
      </c>
      <c r="J140" s="2">
        <v>3.8399999999999997E-2</v>
      </c>
      <c r="K140" s="2">
        <v>0</v>
      </c>
      <c r="L140" s="2">
        <v>0.26679999999999998</v>
      </c>
      <c r="M140" s="2">
        <v>3.8999999999999998E-3</v>
      </c>
      <c r="N140">
        <v>0</v>
      </c>
      <c r="O140">
        <v>6</v>
      </c>
      <c r="P140">
        <v>0</v>
      </c>
      <c r="Q140">
        <v>1</v>
      </c>
    </row>
    <row r="141" spans="1:17" x14ac:dyDescent="0.25">
      <c r="A141" t="s">
        <v>140</v>
      </c>
      <c r="B141" s="1">
        <v>0.34392361111111108</v>
      </c>
      <c r="C141" s="1">
        <v>0.20146990740740742</v>
      </c>
      <c r="D141">
        <v>98</v>
      </c>
      <c r="E141" s="2">
        <v>0.6825</v>
      </c>
      <c r="F141" s="2">
        <v>0.52429999999999999</v>
      </c>
      <c r="G141" s="2">
        <v>0.53580000000000005</v>
      </c>
      <c r="H141" s="2">
        <v>1.6199999999999999E-2</v>
      </c>
      <c r="I141" s="2">
        <v>0.26590000000000003</v>
      </c>
      <c r="J141" s="2">
        <v>3.39E-2</v>
      </c>
      <c r="K141" s="2">
        <v>0</v>
      </c>
      <c r="L141" s="2">
        <v>0.14199999999999999</v>
      </c>
      <c r="M141" s="2">
        <v>6.3E-3</v>
      </c>
      <c r="N141">
        <v>2</v>
      </c>
      <c r="O141">
        <v>3</v>
      </c>
      <c r="P141">
        <v>1</v>
      </c>
      <c r="Q141">
        <v>0</v>
      </c>
    </row>
    <row r="142" spans="1:17" x14ac:dyDescent="0.25">
      <c r="A142" t="s">
        <v>141</v>
      </c>
      <c r="B142" s="1">
        <v>0.34658564814814818</v>
      </c>
      <c r="C142" s="1">
        <v>0.12475694444444445</v>
      </c>
      <c r="D142">
        <v>99</v>
      </c>
      <c r="E142" s="2">
        <v>0.79290000000000005</v>
      </c>
      <c r="F142" s="2">
        <v>0.31069999999999998</v>
      </c>
      <c r="G142" s="2">
        <v>0.3296</v>
      </c>
      <c r="H142" s="2">
        <v>1.15E-2</v>
      </c>
      <c r="I142" s="2">
        <v>9.1499999999999998E-2</v>
      </c>
      <c r="J142" s="2">
        <v>1.8800000000000001E-2</v>
      </c>
      <c r="K142" s="2">
        <v>0</v>
      </c>
      <c r="L142" s="2">
        <v>0.54620000000000002</v>
      </c>
      <c r="M142" s="2">
        <v>2.3E-3</v>
      </c>
      <c r="N142">
        <v>0</v>
      </c>
      <c r="O142">
        <v>2</v>
      </c>
      <c r="P142">
        <v>2</v>
      </c>
      <c r="Q142">
        <v>0</v>
      </c>
    </row>
    <row r="143" spans="1:17" x14ac:dyDescent="0.25">
      <c r="A143" t="s">
        <v>142</v>
      </c>
      <c r="B143" s="1">
        <v>0.34281249999999996</v>
      </c>
      <c r="C143" s="1">
        <v>0.22505787037037037</v>
      </c>
      <c r="D143">
        <v>100</v>
      </c>
      <c r="E143" s="2">
        <v>0.75480000000000003</v>
      </c>
      <c r="F143" s="2">
        <v>0.58460000000000001</v>
      </c>
      <c r="G143" s="2">
        <v>0.59570000000000001</v>
      </c>
      <c r="H143" s="2">
        <v>1E-4</v>
      </c>
      <c r="I143" s="2">
        <v>0.17380000000000001</v>
      </c>
      <c r="J143" s="2">
        <v>5.8500000000000003E-2</v>
      </c>
      <c r="K143" s="2">
        <v>0</v>
      </c>
      <c r="L143" s="2">
        <v>0.15140000000000001</v>
      </c>
      <c r="M143" s="2">
        <v>2.0500000000000001E-2</v>
      </c>
      <c r="N143">
        <v>2</v>
      </c>
      <c r="O143">
        <v>10</v>
      </c>
      <c r="P143">
        <v>0</v>
      </c>
      <c r="Q143">
        <v>1</v>
      </c>
    </row>
    <row r="144" spans="1:17" x14ac:dyDescent="0.25">
      <c r="A144" t="s">
        <v>143</v>
      </c>
      <c r="B144" s="1">
        <v>0.35055555555555556</v>
      </c>
      <c r="C144" s="1">
        <v>0.11953703703703704</v>
      </c>
      <c r="D144">
        <v>101</v>
      </c>
      <c r="E144" s="2">
        <v>0.85260000000000002</v>
      </c>
      <c r="F144" s="2">
        <v>0.31690000000000002</v>
      </c>
      <c r="G144" s="2">
        <v>0.32319999999999999</v>
      </c>
      <c r="H144" s="2">
        <v>8.3000000000000001E-3</v>
      </c>
      <c r="I144" s="2">
        <v>5.1400000000000001E-2</v>
      </c>
      <c r="J144" s="2">
        <v>9.4999999999999998E-3</v>
      </c>
      <c r="K144" s="2">
        <v>0</v>
      </c>
      <c r="L144" s="2">
        <v>0.60140000000000005</v>
      </c>
      <c r="M144" s="2">
        <v>6.1999999999999998E-3</v>
      </c>
      <c r="N144">
        <v>3</v>
      </c>
      <c r="O144">
        <v>1</v>
      </c>
      <c r="P144">
        <v>2</v>
      </c>
      <c r="Q144">
        <v>0</v>
      </c>
    </row>
    <row r="145" spans="1:17" x14ac:dyDescent="0.25">
      <c r="A145" t="s">
        <v>144</v>
      </c>
      <c r="B145" s="1">
        <v>0.34575231481481478</v>
      </c>
      <c r="C145" s="1">
        <v>0.20268518518518519</v>
      </c>
      <c r="D145">
        <v>102</v>
      </c>
      <c r="E145" s="2">
        <v>0.68510000000000004</v>
      </c>
      <c r="F145" s="2">
        <v>0.56379999999999997</v>
      </c>
      <c r="G145" s="2">
        <v>0.56579999999999997</v>
      </c>
      <c r="H145" s="2">
        <v>0</v>
      </c>
      <c r="I145" s="2">
        <v>0.2646</v>
      </c>
      <c r="J145" s="2">
        <v>2.0400000000000001E-2</v>
      </c>
      <c r="K145" s="2">
        <v>0</v>
      </c>
      <c r="L145" s="2">
        <v>0.1447</v>
      </c>
      <c r="M145" s="2">
        <v>4.4000000000000003E-3</v>
      </c>
      <c r="N145">
        <v>0</v>
      </c>
      <c r="O145">
        <v>1</v>
      </c>
      <c r="P145">
        <v>0</v>
      </c>
      <c r="Q145">
        <v>0</v>
      </c>
    </row>
    <row r="146" spans="1:17" x14ac:dyDescent="0.25">
      <c r="A146" t="s">
        <v>145</v>
      </c>
      <c r="B146" s="1">
        <v>0.35479166666666667</v>
      </c>
      <c r="C146" s="1">
        <v>0.21916666666666665</v>
      </c>
      <c r="D146">
        <v>103</v>
      </c>
      <c r="E146" s="2">
        <v>0.69220000000000004</v>
      </c>
      <c r="F146" s="2">
        <v>0.54779999999999995</v>
      </c>
      <c r="G146" s="2">
        <v>0.55579999999999996</v>
      </c>
      <c r="H146" s="2">
        <v>0</v>
      </c>
      <c r="I146" s="2">
        <v>0.26869999999999999</v>
      </c>
      <c r="J146" s="2">
        <v>6.1899999999999997E-2</v>
      </c>
      <c r="K146" s="2">
        <v>0</v>
      </c>
      <c r="L146" s="2">
        <v>0.10979999999999999</v>
      </c>
      <c r="M146" s="2">
        <v>3.8E-3</v>
      </c>
      <c r="N146">
        <v>0</v>
      </c>
      <c r="O146">
        <v>7</v>
      </c>
      <c r="P146">
        <v>0</v>
      </c>
      <c r="Q146">
        <v>0</v>
      </c>
    </row>
    <row r="147" spans="1:17" x14ac:dyDescent="0.25">
      <c r="A147" t="s">
        <v>146</v>
      </c>
      <c r="B147" s="1">
        <v>0.36542824074074076</v>
      </c>
      <c r="C147" s="1">
        <v>0.15059027777777778</v>
      </c>
      <c r="D147">
        <v>104</v>
      </c>
      <c r="E147" s="2">
        <v>0.75760000000000005</v>
      </c>
      <c r="F147" s="2">
        <v>0.37969999999999998</v>
      </c>
      <c r="G147" s="2">
        <v>0.38419999999999999</v>
      </c>
      <c r="H147" s="2">
        <v>1E-4</v>
      </c>
      <c r="I147" s="2">
        <v>0.1249</v>
      </c>
      <c r="J147" s="2">
        <v>2.7900000000000001E-2</v>
      </c>
      <c r="K147" s="2">
        <v>0</v>
      </c>
      <c r="L147" s="2">
        <v>0.46079999999999999</v>
      </c>
      <c r="M147" s="2">
        <v>2.0999999999999999E-3</v>
      </c>
      <c r="N147">
        <v>2</v>
      </c>
      <c r="O147">
        <v>5</v>
      </c>
      <c r="P147">
        <v>0</v>
      </c>
      <c r="Q147">
        <v>0</v>
      </c>
    </row>
    <row r="148" spans="1:17" x14ac:dyDescent="0.25">
      <c r="A148" t="s">
        <v>147</v>
      </c>
      <c r="B148" s="1">
        <v>0.34370370370370368</v>
      </c>
      <c r="C148" s="1">
        <v>0.21891203703703702</v>
      </c>
      <c r="D148">
        <v>105</v>
      </c>
      <c r="E148" s="2">
        <v>0.74109999999999998</v>
      </c>
      <c r="F148" s="2">
        <v>0.56530000000000002</v>
      </c>
      <c r="G148" s="2">
        <v>0.57399999999999995</v>
      </c>
      <c r="H148" s="2">
        <v>1.5E-3</v>
      </c>
      <c r="I148" s="2">
        <v>0.21049999999999999</v>
      </c>
      <c r="J148" s="2">
        <v>6.1400000000000003E-2</v>
      </c>
      <c r="K148" s="2">
        <v>0</v>
      </c>
      <c r="L148" s="2">
        <v>0.14580000000000001</v>
      </c>
      <c r="M148" s="2">
        <v>6.7999999999999996E-3</v>
      </c>
      <c r="N148">
        <v>0</v>
      </c>
      <c r="O148">
        <v>12</v>
      </c>
      <c r="P148">
        <v>1</v>
      </c>
      <c r="Q148">
        <v>0</v>
      </c>
    </row>
    <row r="149" spans="1:17" x14ac:dyDescent="0.25">
      <c r="A149" t="s">
        <v>148</v>
      </c>
      <c r="B149" s="1">
        <v>0.20827546296296295</v>
      </c>
      <c r="C149" s="1">
        <v>0.1310300925925926</v>
      </c>
      <c r="D149">
        <v>106</v>
      </c>
      <c r="E149" s="2">
        <v>0.66200000000000003</v>
      </c>
      <c r="F149" s="2">
        <v>0.60260000000000002</v>
      </c>
      <c r="G149" s="2">
        <v>0.60960000000000003</v>
      </c>
      <c r="H149" s="2">
        <v>2.0000000000000001E-4</v>
      </c>
      <c r="I149" s="2">
        <v>0.3034</v>
      </c>
      <c r="J149" s="2">
        <v>1.8599999999999998E-2</v>
      </c>
      <c r="K149" s="2">
        <v>0</v>
      </c>
      <c r="L149" s="2">
        <v>5.0200000000000002E-2</v>
      </c>
      <c r="M149" s="2">
        <v>1.8100000000000002E-2</v>
      </c>
      <c r="N149">
        <v>0</v>
      </c>
      <c r="O149">
        <v>1</v>
      </c>
      <c r="P149">
        <v>0</v>
      </c>
      <c r="Q149">
        <v>4</v>
      </c>
    </row>
    <row r="150" spans="1:17" x14ac:dyDescent="0.25">
      <c r="A150" t="s">
        <v>149</v>
      </c>
      <c r="B150" s="1">
        <v>0.35688657407407409</v>
      </c>
      <c r="C150" s="1">
        <v>0.19362268518518519</v>
      </c>
      <c r="D150">
        <v>107</v>
      </c>
      <c r="E150" s="2">
        <v>0.73799999999999999</v>
      </c>
      <c r="F150" s="2">
        <v>0.49809999999999999</v>
      </c>
      <c r="G150" s="2">
        <v>0.50800000000000001</v>
      </c>
      <c r="H150" s="2">
        <v>2.5000000000000001E-3</v>
      </c>
      <c r="I150" s="2">
        <v>0.18390000000000001</v>
      </c>
      <c r="J150" s="2">
        <v>3.2099999999999997E-2</v>
      </c>
      <c r="K150" s="2">
        <v>0</v>
      </c>
      <c r="L150" s="2">
        <v>0.26629999999999998</v>
      </c>
      <c r="M150" s="2">
        <v>7.1999999999999998E-3</v>
      </c>
      <c r="N150">
        <v>4</v>
      </c>
      <c r="O150">
        <v>5</v>
      </c>
      <c r="P150">
        <v>0</v>
      </c>
      <c r="Q15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0"/>
  <sheetViews>
    <sheetView workbookViewId="0">
      <selection activeCell="A2" sqref="A2"/>
    </sheetView>
  </sheetViews>
  <sheetFormatPr defaultRowHeight="15" x14ac:dyDescent="0.25"/>
  <cols>
    <col min="1" max="1" width="34.85546875" bestFit="1" customWidth="1"/>
    <col min="2" max="2" width="14.140625" bestFit="1" customWidth="1"/>
    <col min="3" max="3" width="15.7109375" bestFit="1" customWidth="1"/>
    <col min="4" max="4" width="16.28515625" bestFit="1" customWidth="1"/>
    <col min="5" max="5" width="14.5703125" bestFit="1" customWidth="1"/>
    <col min="6" max="6" width="9.7109375" bestFit="1" customWidth="1"/>
    <col min="7" max="7" width="16.42578125" bestFit="1" customWidth="1"/>
    <col min="8" max="8" width="23.7109375" bestFit="1" customWidth="1"/>
    <col min="9" max="9" width="22" bestFit="1" customWidth="1"/>
    <col min="10" max="10" width="19.42578125" bestFit="1" customWidth="1"/>
  </cols>
  <sheetData>
    <row r="1" spans="1:10" x14ac:dyDescent="0.25">
      <c r="A1" s="3" t="s">
        <v>158</v>
      </c>
      <c r="B1" s="3" t="s">
        <v>0</v>
      </c>
      <c r="C1" s="3" t="s">
        <v>174</v>
      </c>
      <c r="D1" s="3" t="s">
        <v>175</v>
      </c>
      <c r="E1" s="3" t="s">
        <v>176</v>
      </c>
      <c r="F1" s="3" t="s">
        <v>177</v>
      </c>
      <c r="G1" s="3" t="s">
        <v>178</v>
      </c>
      <c r="H1" s="3" t="s">
        <v>179</v>
      </c>
      <c r="I1" s="3" t="s">
        <v>180</v>
      </c>
      <c r="J1" s="3" t="s">
        <v>181</v>
      </c>
    </row>
    <row r="2" spans="1:10" x14ac:dyDescent="0.25">
      <c r="A2" t="s">
        <v>1</v>
      </c>
      <c r="B2">
        <v>98</v>
      </c>
      <c r="C2" s="2">
        <v>0</v>
      </c>
      <c r="D2" s="2">
        <v>0</v>
      </c>
      <c r="E2" s="2">
        <v>0</v>
      </c>
      <c r="F2" s="2">
        <v>0.10290000000000001</v>
      </c>
      <c r="G2" s="2">
        <v>0</v>
      </c>
      <c r="H2" s="1">
        <v>2.9282407407407412E-3</v>
      </c>
      <c r="I2" s="1">
        <v>1.1574074074074073E-5</v>
      </c>
      <c r="J2" s="1">
        <v>1.0416666666666667E-4</v>
      </c>
    </row>
    <row r="3" spans="1:10" x14ac:dyDescent="0.25">
      <c r="A3" t="s">
        <v>2</v>
      </c>
      <c r="B3">
        <v>23</v>
      </c>
      <c r="C3" s="2">
        <v>0</v>
      </c>
      <c r="D3" s="2">
        <v>0</v>
      </c>
      <c r="E3" s="2">
        <v>0</v>
      </c>
      <c r="F3" s="2">
        <v>0.10290000000000001</v>
      </c>
      <c r="G3" s="2">
        <v>0</v>
      </c>
      <c r="H3" s="1">
        <v>2.9282407407407412E-3</v>
      </c>
      <c r="I3" s="1">
        <v>1.1574074074074073E-5</v>
      </c>
      <c r="J3" s="1">
        <v>1.0416666666666667E-4</v>
      </c>
    </row>
    <row r="4" spans="1:10" x14ac:dyDescent="0.25">
      <c r="A4" t="s">
        <v>3</v>
      </c>
      <c r="B4">
        <v>28</v>
      </c>
      <c r="C4" s="2">
        <v>1.47E-2</v>
      </c>
      <c r="D4" s="2">
        <v>0</v>
      </c>
      <c r="E4" s="2">
        <v>0</v>
      </c>
      <c r="F4" s="2">
        <v>7.3499999999999996E-2</v>
      </c>
      <c r="G4" s="2">
        <v>0</v>
      </c>
      <c r="H4" s="1">
        <v>2.8935185185185188E-3</v>
      </c>
      <c r="I4" s="1">
        <v>0</v>
      </c>
      <c r="J4" s="1">
        <v>8.1018518518518516E-5</v>
      </c>
    </row>
    <row r="5" spans="1:10" x14ac:dyDescent="0.25">
      <c r="A5" t="s">
        <v>4</v>
      </c>
      <c r="B5">
        <v>29</v>
      </c>
      <c r="C5" s="2">
        <v>1.47E-2</v>
      </c>
      <c r="D5" s="2">
        <v>0</v>
      </c>
      <c r="E5" s="2">
        <v>0</v>
      </c>
      <c r="F5" s="2">
        <v>7.3499999999999996E-2</v>
      </c>
      <c r="G5" s="2">
        <v>0</v>
      </c>
      <c r="H5" s="1">
        <v>2.8935185185185188E-3</v>
      </c>
      <c r="I5" s="1">
        <v>0</v>
      </c>
      <c r="J5" s="1">
        <v>8.1018518518518516E-5</v>
      </c>
    </row>
    <row r="6" spans="1:10" x14ac:dyDescent="0.25">
      <c r="A6" t="s">
        <v>5</v>
      </c>
      <c r="B6">
        <v>93</v>
      </c>
      <c r="C6" s="2">
        <v>8.3299999999999999E-2</v>
      </c>
      <c r="D6" s="2">
        <v>0</v>
      </c>
      <c r="E6" s="2">
        <v>0</v>
      </c>
      <c r="F6" s="2">
        <v>0.16669999999999999</v>
      </c>
      <c r="G6" s="2">
        <v>0.1</v>
      </c>
      <c r="H6" s="1">
        <v>3.0671296296296297E-3</v>
      </c>
      <c r="I6" s="1">
        <v>6.8287037037037025E-4</v>
      </c>
      <c r="J6" s="1">
        <v>1.273148148148148E-4</v>
      </c>
    </row>
    <row r="7" spans="1:10" x14ac:dyDescent="0.25">
      <c r="A7" t="s">
        <v>6</v>
      </c>
      <c r="B7">
        <v>92</v>
      </c>
      <c r="C7" s="2">
        <v>8.3299999999999999E-2</v>
      </c>
      <c r="D7" s="2">
        <v>0</v>
      </c>
      <c r="E7" s="2">
        <v>0</v>
      </c>
      <c r="F7" s="2">
        <v>0.16669999999999999</v>
      </c>
      <c r="G7" s="2">
        <v>0.1</v>
      </c>
      <c r="H7" s="1">
        <v>3.0671296296296297E-3</v>
      </c>
      <c r="I7" s="1">
        <v>6.8287037037037025E-4</v>
      </c>
      <c r="J7" s="1">
        <v>1.273148148148148E-4</v>
      </c>
    </row>
    <row r="8" spans="1:10" x14ac:dyDescent="0.25">
      <c r="A8" t="s">
        <v>7</v>
      </c>
      <c r="B8">
        <v>26</v>
      </c>
      <c r="C8" s="2">
        <v>5.45E-2</v>
      </c>
      <c r="D8" s="2">
        <v>0</v>
      </c>
      <c r="E8" s="2">
        <v>1.7899999999999999E-2</v>
      </c>
      <c r="F8" s="2">
        <v>0.1091</v>
      </c>
      <c r="G8" s="2">
        <v>0</v>
      </c>
      <c r="H8" s="1">
        <v>3.0787037037037037E-3</v>
      </c>
      <c r="I8" s="1">
        <v>0</v>
      </c>
      <c r="J8" s="1">
        <v>1.6203703703703703E-4</v>
      </c>
    </row>
    <row r="9" spans="1:10" x14ac:dyDescent="0.25">
      <c r="A9" t="s">
        <v>8</v>
      </c>
      <c r="B9">
        <v>90</v>
      </c>
      <c r="C9" s="2">
        <v>5.45E-2</v>
      </c>
      <c r="D9" s="2">
        <v>0</v>
      </c>
      <c r="E9" s="2">
        <v>1.7899999999999999E-2</v>
      </c>
      <c r="F9" s="2">
        <v>0.1091</v>
      </c>
      <c r="G9" s="2">
        <v>0</v>
      </c>
      <c r="H9" s="1">
        <v>3.0787037037037037E-3</v>
      </c>
      <c r="I9" s="1">
        <v>0</v>
      </c>
      <c r="J9" s="1">
        <v>1.6203703703703703E-4</v>
      </c>
    </row>
    <row r="10" spans="1:10" x14ac:dyDescent="0.25">
      <c r="A10" t="s">
        <v>9</v>
      </c>
      <c r="B10">
        <v>89</v>
      </c>
      <c r="C10" s="2">
        <v>0</v>
      </c>
      <c r="D10" s="2">
        <v>0</v>
      </c>
      <c r="E10" s="2">
        <v>0</v>
      </c>
      <c r="F10" s="2">
        <v>6.8199999999999997E-2</v>
      </c>
      <c r="G10" s="2">
        <v>0</v>
      </c>
      <c r="H10" s="1">
        <v>2.3842592592592591E-3</v>
      </c>
      <c r="I10" s="1">
        <v>3.4722222222222222E-5</v>
      </c>
      <c r="J10" s="1">
        <v>1.1574074074074073E-4</v>
      </c>
    </row>
    <row r="11" spans="1:10" x14ac:dyDescent="0.25">
      <c r="A11" t="s">
        <v>10</v>
      </c>
      <c r="B11">
        <v>54</v>
      </c>
      <c r="C11" s="2">
        <v>0</v>
      </c>
      <c r="D11" s="2">
        <v>0</v>
      </c>
      <c r="E11" s="2">
        <v>0</v>
      </c>
      <c r="F11" s="2">
        <v>6.8199999999999997E-2</v>
      </c>
      <c r="G11" s="2">
        <v>0</v>
      </c>
      <c r="H11" s="1">
        <v>2.3842592592592591E-3</v>
      </c>
      <c r="I11" s="1">
        <v>3.4722222222222222E-5</v>
      </c>
      <c r="J11" s="1">
        <v>1.1574074074074073E-4</v>
      </c>
    </row>
    <row r="12" spans="1:10" x14ac:dyDescent="0.25">
      <c r="A12" t="s">
        <v>11</v>
      </c>
      <c r="B12">
        <v>87</v>
      </c>
      <c r="C12" s="2">
        <v>0</v>
      </c>
      <c r="D12" s="2">
        <v>0</v>
      </c>
      <c r="E12" s="2">
        <v>0</v>
      </c>
      <c r="F12" s="2">
        <v>6.5199999999999994E-2</v>
      </c>
      <c r="G12" s="2">
        <v>0</v>
      </c>
      <c r="H12" s="1">
        <v>2.7083333333333334E-3</v>
      </c>
      <c r="I12" s="1">
        <v>5.9027777777777778E-4</v>
      </c>
      <c r="J12" s="1">
        <v>3.1250000000000001E-4</v>
      </c>
    </row>
    <row r="13" spans="1:10" x14ac:dyDescent="0.25">
      <c r="A13" t="s">
        <v>12</v>
      </c>
      <c r="B13">
        <v>65</v>
      </c>
      <c r="C13" s="2">
        <v>0</v>
      </c>
      <c r="D13" s="2">
        <v>0</v>
      </c>
      <c r="E13" s="2">
        <v>0</v>
      </c>
      <c r="F13" s="2">
        <v>6.5199999999999994E-2</v>
      </c>
      <c r="G13" s="2">
        <v>0</v>
      </c>
      <c r="H13" s="1">
        <v>2.7083333333333334E-3</v>
      </c>
      <c r="I13" s="1">
        <v>5.9027777777777778E-4</v>
      </c>
      <c r="J13" s="1">
        <v>3.1250000000000001E-4</v>
      </c>
    </row>
    <row r="14" spans="1:10" x14ac:dyDescent="0.25">
      <c r="A14" t="s">
        <v>13</v>
      </c>
      <c r="B14">
        <v>85</v>
      </c>
      <c r="C14" s="2">
        <v>0</v>
      </c>
      <c r="D14" s="2">
        <v>0</v>
      </c>
      <c r="E14" s="2">
        <v>0</v>
      </c>
      <c r="F14" s="2">
        <v>7.6899999999999996E-2</v>
      </c>
      <c r="G14" s="2">
        <v>0</v>
      </c>
      <c r="H14" s="1">
        <v>2.8587962962962963E-3</v>
      </c>
      <c r="I14" s="1">
        <v>0</v>
      </c>
      <c r="J14" s="1">
        <v>4.6296296296296294E-5</v>
      </c>
    </row>
    <row r="15" spans="1:10" x14ac:dyDescent="0.25">
      <c r="A15" t="s">
        <v>14</v>
      </c>
      <c r="B15">
        <v>65</v>
      </c>
      <c r="C15" s="2">
        <v>0</v>
      </c>
      <c r="D15" s="2">
        <v>0</v>
      </c>
      <c r="E15" s="2">
        <v>0</v>
      </c>
      <c r="F15" s="2">
        <v>7.6899999999999996E-2</v>
      </c>
      <c r="G15" s="2">
        <v>0</v>
      </c>
      <c r="H15" s="1">
        <v>2.8587962962962963E-3</v>
      </c>
      <c r="I15" s="1">
        <v>0</v>
      </c>
      <c r="J15" s="1">
        <v>4.6296296296296294E-5</v>
      </c>
    </row>
    <row r="16" spans="1:10" x14ac:dyDescent="0.25">
      <c r="A16" t="s">
        <v>15</v>
      </c>
      <c r="B16">
        <v>83</v>
      </c>
      <c r="C16" s="2">
        <v>9.64E-2</v>
      </c>
      <c r="D16" s="2">
        <v>0</v>
      </c>
      <c r="E16" s="2">
        <v>1.1900000000000001E-2</v>
      </c>
      <c r="F16" s="2">
        <v>0.13250000000000001</v>
      </c>
      <c r="G16" s="2">
        <v>9.0899999999999995E-2</v>
      </c>
      <c r="H16" s="1">
        <v>2.7083333333333334E-3</v>
      </c>
      <c r="I16" s="1">
        <v>3.0092592592592595E-4</v>
      </c>
      <c r="J16" s="1">
        <v>1.8518518518518518E-4</v>
      </c>
    </row>
    <row r="17" spans="1:10" x14ac:dyDescent="0.25">
      <c r="A17" t="s">
        <v>16</v>
      </c>
      <c r="B17">
        <v>82</v>
      </c>
      <c r="C17" s="2">
        <v>9.64E-2</v>
      </c>
      <c r="D17" s="2">
        <v>0</v>
      </c>
      <c r="E17" s="2">
        <v>1.1900000000000001E-2</v>
      </c>
      <c r="F17" s="2">
        <v>0.13250000000000001</v>
      </c>
      <c r="G17" s="2">
        <v>9.0899999999999995E-2</v>
      </c>
      <c r="H17" s="1">
        <v>2.7083333333333334E-3</v>
      </c>
      <c r="I17" s="1">
        <v>3.0092592592592595E-4</v>
      </c>
      <c r="J17" s="1">
        <v>1.8518518518518518E-4</v>
      </c>
    </row>
    <row r="18" spans="1:10" x14ac:dyDescent="0.25">
      <c r="A18" t="s">
        <v>17</v>
      </c>
      <c r="B18">
        <v>81</v>
      </c>
      <c r="C18" s="2">
        <v>3.0300000000000001E-2</v>
      </c>
      <c r="D18" s="2">
        <v>0</v>
      </c>
      <c r="E18" s="2">
        <v>2.86E-2</v>
      </c>
      <c r="F18" s="2">
        <v>7.5800000000000006E-2</v>
      </c>
      <c r="G18" s="2">
        <v>0</v>
      </c>
      <c r="H18" s="1">
        <v>2.9861111111111113E-3</v>
      </c>
      <c r="I18" s="1">
        <v>4.6296296296296294E-5</v>
      </c>
      <c r="J18" s="1">
        <v>8.1018518518518516E-5</v>
      </c>
    </row>
    <row r="19" spans="1:10" x14ac:dyDescent="0.25">
      <c r="A19" t="s">
        <v>18</v>
      </c>
      <c r="B19">
        <v>80</v>
      </c>
      <c r="C19" s="2">
        <v>3.0300000000000001E-2</v>
      </c>
      <c r="D19" s="2">
        <v>0</v>
      </c>
      <c r="E19" s="2">
        <v>2.86E-2</v>
      </c>
      <c r="F19" s="2">
        <v>7.5800000000000006E-2</v>
      </c>
      <c r="G19" s="2">
        <v>0</v>
      </c>
      <c r="H19" s="1">
        <v>2.9861111111111113E-3</v>
      </c>
      <c r="I19" s="1">
        <v>4.6296296296296294E-5</v>
      </c>
      <c r="J19" s="1">
        <v>8.1018518518518516E-5</v>
      </c>
    </row>
    <row r="20" spans="1:10" x14ac:dyDescent="0.25">
      <c r="A20" t="s">
        <v>19</v>
      </c>
      <c r="B20">
        <v>79</v>
      </c>
      <c r="C20" s="2">
        <v>5.9700000000000003E-2</v>
      </c>
      <c r="D20" s="2">
        <v>0</v>
      </c>
      <c r="E20" s="2">
        <v>0</v>
      </c>
      <c r="F20" s="2">
        <v>0.1045</v>
      </c>
      <c r="G20" s="2">
        <v>0</v>
      </c>
      <c r="H20" s="1">
        <v>3.0324074074074073E-3</v>
      </c>
      <c r="I20" s="1">
        <v>1.1574074074074073E-5</v>
      </c>
      <c r="J20" s="1">
        <v>4.6296296296296294E-5</v>
      </c>
    </row>
    <row r="21" spans="1:10" x14ac:dyDescent="0.25">
      <c r="A21" t="s">
        <v>20</v>
      </c>
      <c r="B21">
        <v>78</v>
      </c>
      <c r="C21" s="2">
        <v>5.9700000000000003E-2</v>
      </c>
      <c r="D21" s="2">
        <v>0</v>
      </c>
      <c r="E21" s="2">
        <v>0</v>
      </c>
      <c r="F21" s="2">
        <v>0.1045</v>
      </c>
      <c r="G21" s="2">
        <v>0</v>
      </c>
      <c r="H21" s="1">
        <v>3.0324074074074073E-3</v>
      </c>
      <c r="I21" s="1">
        <v>1.1574074074074073E-5</v>
      </c>
      <c r="J21" s="1">
        <v>4.6296296296296294E-5</v>
      </c>
    </row>
    <row r="22" spans="1:10" x14ac:dyDescent="0.25">
      <c r="A22" t="s">
        <v>21</v>
      </c>
      <c r="B22">
        <v>77</v>
      </c>
      <c r="C22" s="2">
        <v>2.9899999999999999E-2</v>
      </c>
      <c r="D22" s="2">
        <v>0</v>
      </c>
      <c r="E22" s="2">
        <v>0</v>
      </c>
      <c r="F22" s="2">
        <v>0.11940000000000001</v>
      </c>
      <c r="G22" s="2">
        <v>0</v>
      </c>
      <c r="H22" s="1">
        <v>2.8240740740740739E-3</v>
      </c>
      <c r="I22" s="1">
        <v>4.5138888888888892E-4</v>
      </c>
      <c r="J22" s="1">
        <v>1.0416666666666667E-4</v>
      </c>
    </row>
    <row r="23" spans="1:10" x14ac:dyDescent="0.25">
      <c r="A23" t="s">
        <v>22</v>
      </c>
      <c r="B23">
        <v>76</v>
      </c>
      <c r="C23" s="2">
        <v>2.9899999999999999E-2</v>
      </c>
      <c r="D23" s="2">
        <v>0</v>
      </c>
      <c r="E23" s="2">
        <v>0</v>
      </c>
      <c r="F23" s="2">
        <v>0.11940000000000001</v>
      </c>
      <c r="G23" s="2">
        <v>0</v>
      </c>
      <c r="H23" s="1">
        <v>2.8240740740740739E-3</v>
      </c>
      <c r="I23" s="1">
        <v>4.5138888888888892E-4</v>
      </c>
      <c r="J23" s="1">
        <v>1.0416666666666667E-4</v>
      </c>
    </row>
    <row r="24" spans="1:10" x14ac:dyDescent="0.25">
      <c r="A24" t="s">
        <v>23</v>
      </c>
      <c r="B24">
        <v>75</v>
      </c>
      <c r="C24" s="2">
        <v>7.2700000000000001E-2</v>
      </c>
      <c r="D24" s="2">
        <v>0</v>
      </c>
      <c r="E24" s="2">
        <v>1.7500000000000002E-2</v>
      </c>
      <c r="F24" s="2">
        <v>7.2700000000000001E-2</v>
      </c>
      <c r="G24" s="2">
        <v>0</v>
      </c>
      <c r="H24" s="1">
        <v>2.6041666666666665E-3</v>
      </c>
      <c r="I24" s="1">
        <v>0</v>
      </c>
      <c r="J24" s="1">
        <v>2.6620370370370372E-4</v>
      </c>
    </row>
    <row r="25" spans="1:10" x14ac:dyDescent="0.25">
      <c r="A25" t="s">
        <v>24</v>
      </c>
      <c r="B25">
        <v>74</v>
      </c>
      <c r="C25" s="2">
        <v>7.2700000000000001E-2</v>
      </c>
      <c r="D25" s="2">
        <v>0</v>
      </c>
      <c r="E25" s="2">
        <v>1.7500000000000002E-2</v>
      </c>
      <c r="F25" s="2">
        <v>7.2700000000000001E-2</v>
      </c>
      <c r="G25" s="2">
        <v>0</v>
      </c>
      <c r="H25" s="1">
        <v>2.6041666666666665E-3</v>
      </c>
      <c r="I25" s="1">
        <v>0</v>
      </c>
      <c r="J25" s="1">
        <v>2.6620370370370372E-4</v>
      </c>
    </row>
    <row r="26" spans="1:10" x14ac:dyDescent="0.25">
      <c r="A26" t="s">
        <v>25</v>
      </c>
      <c r="B26">
        <v>73</v>
      </c>
      <c r="C26" s="2">
        <v>9.0899999999999995E-2</v>
      </c>
      <c r="D26" s="2">
        <v>0</v>
      </c>
      <c r="E26" s="2">
        <v>0</v>
      </c>
      <c r="F26" s="2">
        <v>0.1061</v>
      </c>
      <c r="G26" s="2">
        <v>0</v>
      </c>
      <c r="H26" s="1">
        <v>2.6041666666666665E-3</v>
      </c>
      <c r="I26" s="1">
        <v>1.1574074074074073E-5</v>
      </c>
      <c r="J26" s="1">
        <v>2.8935185185185189E-4</v>
      </c>
    </row>
    <row r="27" spans="1:10" x14ac:dyDescent="0.25">
      <c r="A27" t="s">
        <v>26</v>
      </c>
      <c r="B27">
        <v>72</v>
      </c>
      <c r="C27" s="2">
        <v>9.0899999999999995E-2</v>
      </c>
      <c r="D27" s="2">
        <v>0</v>
      </c>
      <c r="E27" s="2">
        <v>0</v>
      </c>
      <c r="F27" s="2">
        <v>0.1061</v>
      </c>
      <c r="G27" s="2">
        <v>0</v>
      </c>
      <c r="H27" s="1">
        <v>2.6041666666666665E-3</v>
      </c>
      <c r="I27" s="1">
        <v>1.1574074074074073E-5</v>
      </c>
      <c r="J27" s="1">
        <v>2.8935185185185189E-4</v>
      </c>
    </row>
    <row r="28" spans="1:10" x14ac:dyDescent="0.25">
      <c r="A28" t="s">
        <v>27</v>
      </c>
      <c r="B28">
        <v>71</v>
      </c>
      <c r="C28" s="2">
        <v>8.0600000000000005E-2</v>
      </c>
      <c r="D28" s="2">
        <v>0</v>
      </c>
      <c r="E28" s="2">
        <v>0</v>
      </c>
      <c r="F28" s="2">
        <v>0.1452</v>
      </c>
      <c r="G28" s="2">
        <v>0.1111</v>
      </c>
      <c r="H28" s="1">
        <v>2.8587962962962963E-3</v>
      </c>
      <c r="I28" s="1">
        <v>3.2407407407407406E-4</v>
      </c>
      <c r="J28" s="1">
        <v>2.3148148148148146E-4</v>
      </c>
    </row>
    <row r="29" spans="1:10" x14ac:dyDescent="0.25">
      <c r="A29" t="s">
        <v>28</v>
      </c>
      <c r="B29">
        <v>70</v>
      </c>
      <c r="C29" s="2">
        <v>8.0600000000000005E-2</v>
      </c>
      <c r="D29" s="2">
        <v>0</v>
      </c>
      <c r="E29" s="2">
        <v>0</v>
      </c>
      <c r="F29" s="2">
        <v>0.1452</v>
      </c>
      <c r="G29" s="2">
        <v>0.1111</v>
      </c>
      <c r="H29" s="1">
        <v>2.8587962962962963E-3</v>
      </c>
      <c r="I29" s="1">
        <v>3.2407407407407406E-4</v>
      </c>
      <c r="J29" s="1">
        <v>2.3148148148148146E-4</v>
      </c>
    </row>
    <row r="30" spans="1:10" x14ac:dyDescent="0.25">
      <c r="A30" t="s">
        <v>29</v>
      </c>
      <c r="B30">
        <v>69</v>
      </c>
      <c r="C30" s="2">
        <v>0.13850000000000001</v>
      </c>
      <c r="D30" s="2">
        <v>0</v>
      </c>
      <c r="E30" s="2">
        <v>1.49E-2</v>
      </c>
      <c r="F30" s="2">
        <v>0.21540000000000001</v>
      </c>
      <c r="G30" s="2">
        <v>0</v>
      </c>
      <c r="H30" s="1">
        <v>2.8587962962962963E-3</v>
      </c>
      <c r="I30" s="1">
        <v>6.9444444444444447E-4</v>
      </c>
      <c r="J30" s="1">
        <v>1.6203703703703703E-4</v>
      </c>
    </row>
    <row r="31" spans="1:10" x14ac:dyDescent="0.25">
      <c r="A31" t="s">
        <v>30</v>
      </c>
      <c r="B31">
        <v>68</v>
      </c>
      <c r="C31" s="2">
        <v>0.13850000000000001</v>
      </c>
      <c r="D31" s="2">
        <v>0</v>
      </c>
      <c r="E31" s="2">
        <v>1.49E-2</v>
      </c>
      <c r="F31" s="2">
        <v>0.21540000000000001</v>
      </c>
      <c r="G31" s="2">
        <v>0</v>
      </c>
      <c r="H31" s="1">
        <v>2.8587962962962963E-3</v>
      </c>
      <c r="I31" s="1">
        <v>6.9444444444444447E-4</v>
      </c>
      <c r="J31" s="1">
        <v>1.6203703703703703E-4</v>
      </c>
    </row>
    <row r="32" spans="1:10" x14ac:dyDescent="0.25">
      <c r="A32" t="s">
        <v>31</v>
      </c>
      <c r="B32">
        <v>67</v>
      </c>
      <c r="C32" s="2">
        <v>1.7500000000000002E-2</v>
      </c>
      <c r="D32" s="2">
        <v>0</v>
      </c>
      <c r="E32" s="2">
        <v>0</v>
      </c>
      <c r="F32" s="2">
        <v>5.2600000000000001E-2</v>
      </c>
      <c r="G32" s="2">
        <v>0</v>
      </c>
      <c r="H32" s="1">
        <v>2.9282407407407412E-3</v>
      </c>
      <c r="I32" s="1">
        <v>2.3148148148148147E-5</v>
      </c>
      <c r="J32" s="1">
        <v>1.0416666666666667E-4</v>
      </c>
    </row>
    <row r="33" spans="1:10" x14ac:dyDescent="0.25">
      <c r="A33" t="s">
        <v>32</v>
      </c>
      <c r="B33">
        <v>66</v>
      </c>
      <c r="C33" s="2">
        <v>1.7500000000000002E-2</v>
      </c>
      <c r="D33" s="2">
        <v>0</v>
      </c>
      <c r="E33" s="2">
        <v>0</v>
      </c>
      <c r="F33" s="2">
        <v>5.2600000000000001E-2</v>
      </c>
      <c r="G33" s="2">
        <v>0</v>
      </c>
      <c r="H33" s="1">
        <v>2.9282407407407412E-3</v>
      </c>
      <c r="I33" s="1">
        <v>2.3148148148148147E-5</v>
      </c>
      <c r="J33" s="1">
        <v>1.0416666666666667E-4</v>
      </c>
    </row>
    <row r="34" spans="1:10" x14ac:dyDescent="0.25">
      <c r="A34" t="s">
        <v>33</v>
      </c>
      <c r="B34">
        <v>65</v>
      </c>
      <c r="C34" s="2">
        <v>8.9599999999999999E-2</v>
      </c>
      <c r="D34" s="2">
        <v>0</v>
      </c>
      <c r="E34" s="2">
        <v>1.47E-2</v>
      </c>
      <c r="F34" s="2">
        <v>0.11940000000000001</v>
      </c>
      <c r="G34" s="2">
        <v>0.125</v>
      </c>
      <c r="H34" s="1">
        <v>2.8472222222222219E-3</v>
      </c>
      <c r="I34" s="1">
        <v>0</v>
      </c>
      <c r="J34" s="1">
        <v>6.9444444444444444E-5</v>
      </c>
    </row>
    <row r="35" spans="1:10" x14ac:dyDescent="0.25">
      <c r="A35" t="s">
        <v>34</v>
      </c>
      <c r="B35">
        <v>64</v>
      </c>
      <c r="C35" s="2">
        <v>8.9599999999999999E-2</v>
      </c>
      <c r="D35" s="2">
        <v>0</v>
      </c>
      <c r="E35" s="2">
        <v>1.47E-2</v>
      </c>
      <c r="F35" s="2">
        <v>0.11940000000000001</v>
      </c>
      <c r="G35" s="2">
        <v>0.125</v>
      </c>
      <c r="H35" s="1">
        <v>2.8472222222222219E-3</v>
      </c>
      <c r="I35" s="1">
        <v>0</v>
      </c>
      <c r="J35" s="1">
        <v>6.9444444444444444E-5</v>
      </c>
    </row>
    <row r="36" spans="1:10" x14ac:dyDescent="0.25">
      <c r="A36" t="s">
        <v>35</v>
      </c>
      <c r="B36">
        <v>63</v>
      </c>
      <c r="C36" s="2">
        <v>0.1406</v>
      </c>
      <c r="D36" s="2">
        <v>0</v>
      </c>
      <c r="E36" s="2">
        <v>0</v>
      </c>
      <c r="F36" s="2">
        <v>0.1719</v>
      </c>
      <c r="G36" s="2">
        <v>0</v>
      </c>
      <c r="H36" s="1">
        <v>3.0902777777777782E-3</v>
      </c>
      <c r="I36" s="1">
        <v>0</v>
      </c>
      <c r="J36" s="1">
        <v>3.4722222222222222E-5</v>
      </c>
    </row>
    <row r="37" spans="1:10" x14ac:dyDescent="0.25">
      <c r="A37" t="s">
        <v>36</v>
      </c>
      <c r="B37">
        <v>62</v>
      </c>
      <c r="C37" s="2">
        <v>0.1406</v>
      </c>
      <c r="D37" s="2">
        <v>0</v>
      </c>
      <c r="E37" s="2">
        <v>0</v>
      </c>
      <c r="F37" s="2">
        <v>0.1719</v>
      </c>
      <c r="G37" s="2">
        <v>0</v>
      </c>
      <c r="H37" s="1">
        <v>3.0902777777777782E-3</v>
      </c>
      <c r="I37" s="1">
        <v>0</v>
      </c>
      <c r="J37" s="1">
        <v>3.4722222222222222E-5</v>
      </c>
    </row>
    <row r="38" spans="1:10" x14ac:dyDescent="0.25">
      <c r="A38" t="s">
        <v>37</v>
      </c>
      <c r="B38">
        <v>61</v>
      </c>
      <c r="C38" s="2">
        <v>0.10340000000000001</v>
      </c>
      <c r="D38" s="2">
        <v>0</v>
      </c>
      <c r="E38" s="2">
        <v>0</v>
      </c>
      <c r="F38" s="2">
        <v>0.2414</v>
      </c>
      <c r="G38" s="2">
        <v>0</v>
      </c>
      <c r="H38" s="1">
        <v>5.5092592592592589E-3</v>
      </c>
      <c r="I38" s="1">
        <v>1.0648148148148147E-3</v>
      </c>
      <c r="J38" s="1">
        <v>2.8935185185185189E-4</v>
      </c>
    </row>
    <row r="39" spans="1:10" x14ac:dyDescent="0.25">
      <c r="A39" t="s">
        <v>38</v>
      </c>
      <c r="B39">
        <v>60</v>
      </c>
      <c r="C39" s="2">
        <v>0.10340000000000001</v>
      </c>
      <c r="D39" s="2">
        <v>0</v>
      </c>
      <c r="E39" s="2">
        <v>0</v>
      </c>
      <c r="F39" s="2">
        <v>0.2414</v>
      </c>
      <c r="G39" s="2">
        <v>0</v>
      </c>
      <c r="H39" s="1">
        <v>5.5092592592592589E-3</v>
      </c>
      <c r="I39" s="1">
        <v>1.0648148148148147E-3</v>
      </c>
      <c r="J39" s="1">
        <v>2.8935185185185189E-4</v>
      </c>
    </row>
    <row r="40" spans="1:10" x14ac:dyDescent="0.25">
      <c r="A40" t="s">
        <v>39</v>
      </c>
      <c r="B40">
        <v>59</v>
      </c>
      <c r="C40" s="2">
        <v>7.3499999999999996E-2</v>
      </c>
      <c r="D40" s="2">
        <v>0</v>
      </c>
      <c r="E40" s="2">
        <v>0</v>
      </c>
      <c r="F40" s="2">
        <v>0.1176</v>
      </c>
      <c r="G40" s="2">
        <v>0</v>
      </c>
      <c r="H40" s="1">
        <v>2.8703703703703708E-3</v>
      </c>
      <c r="I40" s="1">
        <v>8.1018518518518516E-5</v>
      </c>
      <c r="J40" s="1">
        <v>5.7870370370370366E-5</v>
      </c>
    </row>
    <row r="41" spans="1:10" x14ac:dyDescent="0.25">
      <c r="A41" t="s">
        <v>40</v>
      </c>
      <c r="B41">
        <v>58</v>
      </c>
      <c r="C41" s="2">
        <v>7.3499999999999996E-2</v>
      </c>
      <c r="D41" s="2">
        <v>0</v>
      </c>
      <c r="E41" s="2">
        <v>0</v>
      </c>
      <c r="F41" s="2">
        <v>0.1176</v>
      </c>
      <c r="G41" s="2">
        <v>0</v>
      </c>
      <c r="H41" s="1">
        <v>2.8703703703703708E-3</v>
      </c>
      <c r="I41" s="1">
        <v>8.1018518518518516E-5</v>
      </c>
      <c r="J41" s="1">
        <v>5.7870370370370366E-5</v>
      </c>
    </row>
    <row r="42" spans="1:10" x14ac:dyDescent="0.25">
      <c r="A42" t="s">
        <v>41</v>
      </c>
      <c r="B42">
        <v>57</v>
      </c>
      <c r="C42" s="2">
        <v>4.9200000000000001E-2</v>
      </c>
      <c r="D42" s="2">
        <v>0</v>
      </c>
      <c r="E42" s="2">
        <v>0</v>
      </c>
      <c r="F42" s="2">
        <v>9.8400000000000001E-2</v>
      </c>
      <c r="G42" s="2">
        <v>0</v>
      </c>
      <c r="H42" s="1">
        <v>3.1828703703703702E-3</v>
      </c>
      <c r="I42" s="1">
        <v>0</v>
      </c>
      <c r="J42" s="1">
        <v>4.6296296296296294E-5</v>
      </c>
    </row>
    <row r="43" spans="1:10" x14ac:dyDescent="0.25">
      <c r="A43" t="s">
        <v>42</v>
      </c>
      <c r="B43">
        <v>56</v>
      </c>
      <c r="C43" s="2">
        <v>4.9200000000000001E-2</v>
      </c>
      <c r="D43" s="2">
        <v>0</v>
      </c>
      <c r="E43" s="2">
        <v>0</v>
      </c>
      <c r="F43" s="2">
        <v>9.8400000000000001E-2</v>
      </c>
      <c r="G43" s="2">
        <v>0</v>
      </c>
      <c r="H43" s="1">
        <v>3.1828703703703702E-3</v>
      </c>
      <c r="I43" s="1">
        <v>0</v>
      </c>
      <c r="J43" s="1">
        <v>4.6296296296296294E-5</v>
      </c>
    </row>
    <row r="44" spans="1:10" x14ac:dyDescent="0.25">
      <c r="A44" t="s">
        <v>43</v>
      </c>
      <c r="B44">
        <v>55</v>
      </c>
      <c r="C44" s="2">
        <v>1.5599999999999999E-2</v>
      </c>
      <c r="D44" s="2">
        <v>0</v>
      </c>
      <c r="E44" s="2">
        <v>0</v>
      </c>
      <c r="F44" s="2">
        <v>1.5599999999999999E-2</v>
      </c>
      <c r="G44" s="2">
        <v>0</v>
      </c>
      <c r="H44" s="1">
        <v>3.1712962962962958E-3</v>
      </c>
      <c r="I44" s="1">
        <v>3.4722222222222222E-5</v>
      </c>
      <c r="J44" s="1">
        <v>5.7870370370370366E-5</v>
      </c>
    </row>
    <row r="45" spans="1:10" x14ac:dyDescent="0.25">
      <c r="A45" t="s">
        <v>44</v>
      </c>
      <c r="B45">
        <v>54</v>
      </c>
      <c r="C45" s="2">
        <v>1.5599999999999999E-2</v>
      </c>
      <c r="D45" s="2">
        <v>0</v>
      </c>
      <c r="E45" s="2">
        <v>0</v>
      </c>
      <c r="F45" s="2">
        <v>1.5599999999999999E-2</v>
      </c>
      <c r="G45" s="2">
        <v>0</v>
      </c>
      <c r="H45" s="1">
        <v>3.1712962962962958E-3</v>
      </c>
      <c r="I45" s="1">
        <v>3.4722222222222222E-5</v>
      </c>
      <c r="J45" s="1">
        <v>5.7870370370370366E-5</v>
      </c>
    </row>
    <row r="46" spans="1:10" x14ac:dyDescent="0.25">
      <c r="A46" t="s">
        <v>45</v>
      </c>
      <c r="B46">
        <v>53</v>
      </c>
      <c r="C46" s="2">
        <v>3.5700000000000003E-2</v>
      </c>
      <c r="D46" s="2">
        <v>0</v>
      </c>
      <c r="E46" s="2">
        <v>0</v>
      </c>
      <c r="F46" s="2">
        <v>5.3600000000000002E-2</v>
      </c>
      <c r="G46" s="2">
        <v>0</v>
      </c>
      <c r="H46" s="1">
        <v>2.6620370370370374E-3</v>
      </c>
      <c r="I46" s="1">
        <v>4.7453703703703704E-4</v>
      </c>
      <c r="J46" s="1">
        <v>3.9351851851851852E-4</v>
      </c>
    </row>
    <row r="47" spans="1:10" x14ac:dyDescent="0.25">
      <c r="A47" t="s">
        <v>46</v>
      </c>
      <c r="B47">
        <v>52</v>
      </c>
      <c r="C47" s="2">
        <v>3.5700000000000003E-2</v>
      </c>
      <c r="D47" s="2">
        <v>0</v>
      </c>
      <c r="E47" s="2">
        <v>0</v>
      </c>
      <c r="F47" s="2">
        <v>5.3600000000000002E-2</v>
      </c>
      <c r="G47" s="2">
        <v>0</v>
      </c>
      <c r="H47" s="1">
        <v>2.6620370370370374E-3</v>
      </c>
      <c r="I47" s="1">
        <v>4.7453703703703704E-4</v>
      </c>
      <c r="J47" s="1">
        <v>3.9351851851851852E-4</v>
      </c>
    </row>
    <row r="48" spans="1:10" x14ac:dyDescent="0.25">
      <c r="A48" t="s">
        <v>47</v>
      </c>
      <c r="B48">
        <v>51</v>
      </c>
      <c r="C48" s="2">
        <v>3.4500000000000003E-2</v>
      </c>
      <c r="D48" s="2">
        <v>0</v>
      </c>
      <c r="E48" s="2">
        <v>0</v>
      </c>
      <c r="F48" s="2">
        <v>0.10340000000000001</v>
      </c>
      <c r="G48" s="2">
        <v>0.16669999999999999</v>
      </c>
      <c r="H48" s="1">
        <v>2.8356481481481479E-3</v>
      </c>
      <c r="I48" s="1">
        <v>6.9444444444444444E-5</v>
      </c>
      <c r="J48" s="1">
        <v>1.1574074074074073E-4</v>
      </c>
    </row>
    <row r="49" spans="1:10" x14ac:dyDescent="0.25">
      <c r="A49" t="s">
        <v>48</v>
      </c>
      <c r="B49">
        <v>50</v>
      </c>
      <c r="C49" s="2">
        <v>3.4500000000000003E-2</v>
      </c>
      <c r="D49" s="2">
        <v>0</v>
      </c>
      <c r="E49" s="2">
        <v>0</v>
      </c>
      <c r="F49" s="2">
        <v>0.10340000000000001</v>
      </c>
      <c r="G49" s="2">
        <v>0.16669999999999999</v>
      </c>
      <c r="H49" s="1">
        <v>2.8356481481481479E-3</v>
      </c>
      <c r="I49" s="1">
        <v>6.9444444444444444E-5</v>
      </c>
      <c r="J49" s="1">
        <v>1.1574074074074073E-4</v>
      </c>
    </row>
    <row r="50" spans="1:10" x14ac:dyDescent="0.25">
      <c r="A50" t="s">
        <v>49</v>
      </c>
      <c r="B50">
        <v>49</v>
      </c>
      <c r="C50" s="2">
        <v>4.3499999999999997E-2</v>
      </c>
      <c r="D50" s="2">
        <v>0</v>
      </c>
      <c r="E50" s="2">
        <v>5.4800000000000001E-2</v>
      </c>
      <c r="F50" s="2">
        <v>7.2499999999999995E-2</v>
      </c>
      <c r="G50" s="2">
        <v>0.2</v>
      </c>
      <c r="H50" s="1">
        <v>2.7430555555555559E-3</v>
      </c>
      <c r="I50" s="1">
        <v>1.0300925925925926E-3</v>
      </c>
      <c r="J50" s="1">
        <v>2.199074074074074E-4</v>
      </c>
    </row>
    <row r="51" spans="1:10" x14ac:dyDescent="0.25">
      <c r="A51" t="s">
        <v>50</v>
      </c>
      <c r="B51">
        <v>48</v>
      </c>
      <c r="C51" s="2">
        <v>4.3499999999999997E-2</v>
      </c>
      <c r="D51" s="2">
        <v>0</v>
      </c>
      <c r="E51" s="2">
        <v>5.4800000000000001E-2</v>
      </c>
      <c r="F51" s="2">
        <v>7.2499999999999995E-2</v>
      </c>
      <c r="G51" s="2">
        <v>0.2</v>
      </c>
      <c r="H51" s="1">
        <v>2.7430555555555559E-3</v>
      </c>
      <c r="I51" s="1">
        <v>1.0300925925925926E-3</v>
      </c>
      <c r="J51" s="1">
        <v>2.199074074074074E-4</v>
      </c>
    </row>
    <row r="52" spans="1:10" x14ac:dyDescent="0.25">
      <c r="A52" t="s">
        <v>51</v>
      </c>
      <c r="B52">
        <v>47</v>
      </c>
      <c r="C52" s="2">
        <v>0</v>
      </c>
      <c r="D52" s="2">
        <v>0</v>
      </c>
      <c r="E52" s="2">
        <v>0</v>
      </c>
      <c r="F52" s="2">
        <v>0</v>
      </c>
      <c r="G52" s="2">
        <v>0</v>
      </c>
      <c r="H52" s="1">
        <v>3.3217592592592591E-3</v>
      </c>
      <c r="J52" s="1">
        <v>9.2592592592592588E-5</v>
      </c>
    </row>
    <row r="53" spans="1:10" x14ac:dyDescent="0.25">
      <c r="A53" t="s">
        <v>52</v>
      </c>
      <c r="B53">
        <v>46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1">
        <v>3.3217592592592591E-3</v>
      </c>
      <c r="J53" s="1">
        <v>9.2592592592592588E-5</v>
      </c>
    </row>
    <row r="54" spans="1:10" x14ac:dyDescent="0.25">
      <c r="A54" t="s">
        <v>53</v>
      </c>
      <c r="B54">
        <v>45</v>
      </c>
      <c r="C54" s="2">
        <v>0.1111</v>
      </c>
      <c r="D54" s="2">
        <v>0</v>
      </c>
      <c r="E54" s="2">
        <v>0</v>
      </c>
      <c r="F54" s="2">
        <v>0.22220000000000001</v>
      </c>
      <c r="G54" s="2">
        <v>0</v>
      </c>
      <c r="H54" s="1">
        <v>2.7083333333333334E-3</v>
      </c>
      <c r="I54" s="1">
        <v>2.6620370370370372E-4</v>
      </c>
      <c r="J54" s="1">
        <v>4.6296296296296294E-5</v>
      </c>
    </row>
    <row r="55" spans="1:10" x14ac:dyDescent="0.25">
      <c r="A55" t="s">
        <v>54</v>
      </c>
      <c r="B55">
        <v>44</v>
      </c>
      <c r="C55" s="2">
        <v>0.1111</v>
      </c>
      <c r="D55" s="2">
        <v>0</v>
      </c>
      <c r="E55" s="2">
        <v>0</v>
      </c>
      <c r="F55" s="2">
        <v>0.22220000000000001</v>
      </c>
      <c r="G55" s="2">
        <v>0</v>
      </c>
      <c r="H55" s="1">
        <v>2.7083333333333334E-3</v>
      </c>
      <c r="I55" s="1">
        <v>2.6620370370370372E-4</v>
      </c>
      <c r="J55" s="1">
        <v>4.6296296296296294E-5</v>
      </c>
    </row>
    <row r="56" spans="1:10" x14ac:dyDescent="0.25">
      <c r="A56" t="s">
        <v>55</v>
      </c>
      <c r="B56">
        <v>43</v>
      </c>
      <c r="C56" s="2">
        <v>0.1449</v>
      </c>
      <c r="D56" s="2">
        <v>0</v>
      </c>
      <c r="E56" s="2">
        <v>0</v>
      </c>
      <c r="F56" s="2">
        <v>0.2029</v>
      </c>
      <c r="G56" s="2">
        <v>7.1400000000000005E-2</v>
      </c>
      <c r="H56" s="1">
        <v>2.6620370370370374E-3</v>
      </c>
      <c r="I56" s="1">
        <v>1.9675925925925926E-4</v>
      </c>
      <c r="J56" s="1">
        <v>3.3564814814814812E-4</v>
      </c>
    </row>
    <row r="57" spans="1:10" x14ac:dyDescent="0.25">
      <c r="A57" t="s">
        <v>56</v>
      </c>
      <c r="B57">
        <v>42</v>
      </c>
      <c r="C57" s="2">
        <v>0.1449</v>
      </c>
      <c r="D57" s="2">
        <v>0</v>
      </c>
      <c r="E57" s="2">
        <v>0</v>
      </c>
      <c r="F57" s="2">
        <v>0.2029</v>
      </c>
      <c r="G57" s="2">
        <v>7.1400000000000005E-2</v>
      </c>
      <c r="H57" s="1">
        <v>2.6620370370370374E-3</v>
      </c>
      <c r="I57" s="1">
        <v>1.9675925925925926E-4</v>
      </c>
      <c r="J57" s="1">
        <v>3.3564814814814812E-4</v>
      </c>
    </row>
    <row r="58" spans="1:10" x14ac:dyDescent="0.25">
      <c r="A58" t="s">
        <v>57</v>
      </c>
      <c r="B58">
        <v>41</v>
      </c>
      <c r="C58" s="2">
        <v>6.7799999999999999E-2</v>
      </c>
      <c r="D58" s="2">
        <v>0</v>
      </c>
      <c r="E58" s="2">
        <v>0</v>
      </c>
      <c r="F58" s="2">
        <v>0.1186</v>
      </c>
      <c r="G58" s="2">
        <v>0</v>
      </c>
      <c r="H58" s="1">
        <v>2.627314814814815E-3</v>
      </c>
      <c r="I58" s="1">
        <v>2.0833333333333335E-4</v>
      </c>
      <c r="J58" s="1">
        <v>3.1250000000000001E-4</v>
      </c>
    </row>
    <row r="59" spans="1:10" x14ac:dyDescent="0.25">
      <c r="A59" t="s">
        <v>58</v>
      </c>
      <c r="B59">
        <v>40</v>
      </c>
      <c r="C59" s="2">
        <v>6.7799999999999999E-2</v>
      </c>
      <c r="D59" s="2">
        <v>0</v>
      </c>
      <c r="E59" s="2">
        <v>0</v>
      </c>
      <c r="F59" s="2">
        <v>0.1186</v>
      </c>
      <c r="G59" s="2">
        <v>0</v>
      </c>
      <c r="H59" s="1">
        <v>2.627314814814815E-3</v>
      </c>
      <c r="I59" s="1">
        <v>2.0833333333333335E-4</v>
      </c>
      <c r="J59" s="1">
        <v>3.1250000000000001E-4</v>
      </c>
    </row>
    <row r="60" spans="1:10" x14ac:dyDescent="0.25">
      <c r="A60" t="s">
        <v>59</v>
      </c>
      <c r="B60">
        <v>39</v>
      </c>
      <c r="C60" s="2">
        <v>2.63E-2</v>
      </c>
      <c r="D60" s="2">
        <v>0</v>
      </c>
      <c r="E60" s="2">
        <v>4.9399999999999999E-2</v>
      </c>
      <c r="F60" s="2">
        <v>7.8899999999999998E-2</v>
      </c>
      <c r="G60" s="2">
        <v>0.16669999999999999</v>
      </c>
      <c r="H60" s="1">
        <v>2.1643518518518518E-3</v>
      </c>
      <c r="I60" s="1">
        <v>9.3750000000000007E-4</v>
      </c>
      <c r="J60" s="1">
        <v>2.199074074074074E-4</v>
      </c>
    </row>
    <row r="61" spans="1:10" x14ac:dyDescent="0.25">
      <c r="A61" t="s">
        <v>60</v>
      </c>
      <c r="B61">
        <v>38</v>
      </c>
      <c r="C61" s="2">
        <v>2.63E-2</v>
      </c>
      <c r="D61" s="2">
        <v>0</v>
      </c>
      <c r="E61" s="2">
        <v>4.9399999999999999E-2</v>
      </c>
      <c r="F61" s="2">
        <v>7.8899999999999998E-2</v>
      </c>
      <c r="G61" s="2">
        <v>0.16669999999999999</v>
      </c>
      <c r="H61" s="1">
        <v>2.1643518518518518E-3</v>
      </c>
      <c r="I61" s="1">
        <v>9.3750000000000007E-4</v>
      </c>
      <c r="J61" s="1">
        <v>2.199074074074074E-4</v>
      </c>
    </row>
    <row r="62" spans="1:10" x14ac:dyDescent="0.25">
      <c r="A62" t="s">
        <v>61</v>
      </c>
      <c r="B62">
        <v>37</v>
      </c>
      <c r="C62" s="2">
        <v>3.7999999999999999E-2</v>
      </c>
      <c r="D62" s="2">
        <v>0</v>
      </c>
      <c r="E62" s="2">
        <v>0</v>
      </c>
      <c r="F62" s="2">
        <v>7.5899999999999995E-2</v>
      </c>
      <c r="G62" s="2">
        <v>0.16669999999999999</v>
      </c>
      <c r="H62" s="1">
        <v>2.4074074074074076E-3</v>
      </c>
      <c r="I62" s="1">
        <v>1.9675925925925926E-4</v>
      </c>
      <c r="J62" s="1">
        <v>2.6620370370370372E-4</v>
      </c>
    </row>
    <row r="63" spans="1:10" x14ac:dyDescent="0.25">
      <c r="A63" t="s">
        <v>62</v>
      </c>
      <c r="B63">
        <v>36</v>
      </c>
      <c r="C63" s="2">
        <v>3.7999999999999999E-2</v>
      </c>
      <c r="D63" s="2">
        <v>0</v>
      </c>
      <c r="E63" s="2">
        <v>0</v>
      </c>
      <c r="F63" s="2">
        <v>7.5899999999999995E-2</v>
      </c>
      <c r="G63" s="2">
        <v>0.16669999999999999</v>
      </c>
      <c r="H63" s="1">
        <v>2.4074074074074076E-3</v>
      </c>
      <c r="I63" s="1">
        <v>1.9675925925925926E-4</v>
      </c>
      <c r="J63" s="1">
        <v>2.6620370370370372E-4</v>
      </c>
    </row>
    <row r="64" spans="1:10" x14ac:dyDescent="0.25">
      <c r="A64" t="s">
        <v>63</v>
      </c>
      <c r="B64">
        <v>35</v>
      </c>
      <c r="C64" s="2">
        <v>8.77E-2</v>
      </c>
      <c r="D64" s="2">
        <v>0</v>
      </c>
      <c r="E64" s="2">
        <v>0</v>
      </c>
      <c r="F64" s="2">
        <v>0.1053</v>
      </c>
      <c r="G64" s="2">
        <v>0</v>
      </c>
      <c r="H64" s="1">
        <v>3.1134259259259257E-3</v>
      </c>
      <c r="I64" s="1">
        <v>1.9675925925925926E-4</v>
      </c>
      <c r="J64" s="1">
        <v>5.7870370370370378E-4</v>
      </c>
    </row>
    <row r="65" spans="1:10" x14ac:dyDescent="0.25">
      <c r="A65" t="s">
        <v>64</v>
      </c>
      <c r="B65">
        <v>34</v>
      </c>
      <c r="C65" s="2">
        <v>8.77E-2</v>
      </c>
      <c r="D65" s="2">
        <v>0</v>
      </c>
      <c r="E65" s="2">
        <v>0</v>
      </c>
      <c r="F65" s="2">
        <v>0.1053</v>
      </c>
      <c r="G65" s="2">
        <v>0</v>
      </c>
      <c r="H65" s="1">
        <v>3.1134259259259257E-3</v>
      </c>
      <c r="I65" s="1">
        <v>1.9675925925925926E-4</v>
      </c>
      <c r="J65" s="1">
        <v>5.7870370370370378E-4</v>
      </c>
    </row>
    <row r="66" spans="1:10" x14ac:dyDescent="0.25">
      <c r="A66" t="s">
        <v>65</v>
      </c>
      <c r="B66">
        <v>33</v>
      </c>
      <c r="C66" s="2">
        <v>0.1077</v>
      </c>
      <c r="D66" s="2">
        <v>0</v>
      </c>
      <c r="E66" s="2">
        <v>0</v>
      </c>
      <c r="F66" s="2">
        <v>0.16919999999999999</v>
      </c>
      <c r="G66" s="2">
        <v>0</v>
      </c>
      <c r="H66" s="1">
        <v>2.9513888888888888E-3</v>
      </c>
      <c r="I66" s="1">
        <v>3.4722222222222222E-5</v>
      </c>
      <c r="J66" s="1">
        <v>1.1574074074074073E-4</v>
      </c>
    </row>
    <row r="67" spans="1:10" x14ac:dyDescent="0.25">
      <c r="A67" t="s">
        <v>66</v>
      </c>
      <c r="B67">
        <v>32</v>
      </c>
      <c r="C67" s="2">
        <v>0.1077</v>
      </c>
      <c r="D67" s="2">
        <v>0</v>
      </c>
      <c r="E67" s="2">
        <v>0</v>
      </c>
      <c r="F67" s="2">
        <v>0.16919999999999999</v>
      </c>
      <c r="G67" s="2">
        <v>0</v>
      </c>
      <c r="H67" s="1">
        <v>2.9513888888888888E-3</v>
      </c>
      <c r="I67" s="1">
        <v>3.4722222222222222E-5</v>
      </c>
      <c r="J67" s="1">
        <v>1.1574074074074073E-4</v>
      </c>
    </row>
    <row r="68" spans="1:10" x14ac:dyDescent="0.25">
      <c r="A68" t="s">
        <v>67</v>
      </c>
      <c r="B68">
        <v>31</v>
      </c>
      <c r="C68" s="2">
        <v>7.3499999999999996E-2</v>
      </c>
      <c r="D68" s="2">
        <v>0</v>
      </c>
      <c r="E68" s="2">
        <v>0</v>
      </c>
      <c r="F68" s="2">
        <v>0.13239999999999999</v>
      </c>
      <c r="G68" s="2">
        <v>0</v>
      </c>
      <c r="H68" s="1">
        <v>2.9745370370370373E-3</v>
      </c>
      <c r="I68" s="1">
        <v>0</v>
      </c>
      <c r="J68" s="1">
        <v>1.0416666666666667E-4</v>
      </c>
    </row>
    <row r="69" spans="1:10" x14ac:dyDescent="0.25">
      <c r="A69" t="s">
        <v>68</v>
      </c>
      <c r="B69">
        <v>30</v>
      </c>
      <c r="C69" s="2">
        <v>7.3499999999999996E-2</v>
      </c>
      <c r="D69" s="2">
        <v>0</v>
      </c>
      <c r="E69" s="2">
        <v>0</v>
      </c>
      <c r="F69" s="2">
        <v>0.13239999999999999</v>
      </c>
      <c r="G69" s="2">
        <v>0</v>
      </c>
      <c r="H69" s="1">
        <v>2.9745370370370373E-3</v>
      </c>
      <c r="I69" s="1">
        <v>0</v>
      </c>
      <c r="J69" s="1">
        <v>1.0416666666666667E-4</v>
      </c>
    </row>
    <row r="70" spans="1:10" x14ac:dyDescent="0.25">
      <c r="A70" t="s">
        <v>69</v>
      </c>
      <c r="B70">
        <v>29</v>
      </c>
      <c r="C70" s="2">
        <v>0.05</v>
      </c>
      <c r="D70" s="2">
        <v>0</v>
      </c>
      <c r="E70" s="2">
        <v>0</v>
      </c>
      <c r="F70" s="2">
        <v>0.1</v>
      </c>
      <c r="G70" s="2">
        <v>0</v>
      </c>
      <c r="H70" s="1">
        <v>2.9861111111111113E-3</v>
      </c>
      <c r="I70" s="1">
        <v>1.1574074074074073E-5</v>
      </c>
      <c r="J70" s="1">
        <v>8.1018518518518516E-5</v>
      </c>
    </row>
    <row r="71" spans="1:10" x14ac:dyDescent="0.25">
      <c r="A71" t="s">
        <v>70</v>
      </c>
      <c r="B71">
        <v>28</v>
      </c>
      <c r="C71" s="2">
        <v>0.05</v>
      </c>
      <c r="D71" s="2">
        <v>0</v>
      </c>
      <c r="E71" s="2">
        <v>0</v>
      </c>
      <c r="F71" s="2">
        <v>0.1</v>
      </c>
      <c r="G71" s="2">
        <v>0</v>
      </c>
      <c r="H71" s="1">
        <v>2.9861111111111113E-3</v>
      </c>
      <c r="I71" s="1">
        <v>1.1574074074074073E-5</v>
      </c>
      <c r="J71" s="1">
        <v>8.1018518518518516E-5</v>
      </c>
    </row>
    <row r="72" spans="1:10" x14ac:dyDescent="0.25">
      <c r="A72" t="s">
        <v>71</v>
      </c>
      <c r="B72">
        <v>29</v>
      </c>
      <c r="C72" s="2">
        <v>7.1400000000000005E-2</v>
      </c>
      <c r="D72" s="2">
        <v>0</v>
      </c>
      <c r="E72" s="2">
        <v>0</v>
      </c>
      <c r="F72" s="2">
        <v>8.9300000000000004E-2</v>
      </c>
      <c r="G72" s="2">
        <v>0</v>
      </c>
      <c r="H72" s="1">
        <v>2.8935185185185188E-3</v>
      </c>
      <c r="I72" s="1">
        <v>3.4722222222222222E-5</v>
      </c>
      <c r="J72" s="1">
        <v>8.1018518518518516E-5</v>
      </c>
    </row>
    <row r="73" spans="1:10" x14ac:dyDescent="0.25">
      <c r="A73" t="s">
        <v>72</v>
      </c>
      <c r="B73">
        <v>30</v>
      </c>
      <c r="C73" s="2">
        <v>7.1400000000000005E-2</v>
      </c>
      <c r="D73" s="2">
        <v>0</v>
      </c>
      <c r="E73" s="2">
        <v>0</v>
      </c>
      <c r="F73" s="2">
        <v>8.9300000000000004E-2</v>
      </c>
      <c r="G73" s="2">
        <v>0</v>
      </c>
      <c r="H73" s="1">
        <v>2.8935185185185188E-3</v>
      </c>
      <c r="I73" s="1">
        <v>3.4722222222222222E-5</v>
      </c>
      <c r="J73" s="1">
        <v>8.1018518518518516E-5</v>
      </c>
    </row>
    <row r="74" spans="1:10" x14ac:dyDescent="0.25">
      <c r="A74" t="s">
        <v>73</v>
      </c>
      <c r="B74">
        <v>31</v>
      </c>
      <c r="C74" s="2">
        <v>7.6899999999999996E-2</v>
      </c>
      <c r="D74" s="2">
        <v>0</v>
      </c>
      <c r="E74" s="2">
        <v>0</v>
      </c>
      <c r="F74" s="2">
        <v>7.6899999999999996E-2</v>
      </c>
      <c r="G74" s="2">
        <v>0</v>
      </c>
      <c r="H74" s="1">
        <v>2.4652777777777776E-3</v>
      </c>
      <c r="I74" s="1">
        <v>0</v>
      </c>
      <c r="J74" s="1">
        <v>1.0416666666666667E-4</v>
      </c>
    </row>
    <row r="75" spans="1:10" x14ac:dyDescent="0.25">
      <c r="A75" t="s">
        <v>74</v>
      </c>
      <c r="B75">
        <v>32</v>
      </c>
      <c r="C75" s="2">
        <v>7.6899999999999996E-2</v>
      </c>
      <c r="D75" s="2">
        <v>0</v>
      </c>
      <c r="E75" s="2">
        <v>0</v>
      </c>
      <c r="F75" s="2">
        <v>7.6899999999999996E-2</v>
      </c>
      <c r="G75" s="2">
        <v>0</v>
      </c>
      <c r="H75" s="1">
        <v>2.4652777777777776E-3</v>
      </c>
      <c r="I75" s="1">
        <v>0</v>
      </c>
      <c r="J75" s="1">
        <v>1.0416666666666667E-4</v>
      </c>
    </row>
    <row r="76" spans="1:10" x14ac:dyDescent="0.25">
      <c r="A76" t="s">
        <v>75</v>
      </c>
      <c r="B76">
        <v>33</v>
      </c>
      <c r="C76" s="2">
        <v>5.4100000000000002E-2</v>
      </c>
      <c r="D76" s="2">
        <v>0</v>
      </c>
      <c r="E76" s="2">
        <v>0</v>
      </c>
      <c r="F76" s="2">
        <v>8.1100000000000005E-2</v>
      </c>
      <c r="G76" s="2">
        <v>0</v>
      </c>
      <c r="H76" s="1">
        <v>2.5231481481481481E-3</v>
      </c>
      <c r="I76" s="1">
        <v>2.0833333333333335E-4</v>
      </c>
      <c r="J76" s="1">
        <v>2.3148148148148146E-4</v>
      </c>
    </row>
    <row r="77" spans="1:10" x14ac:dyDescent="0.25">
      <c r="A77" t="s">
        <v>76</v>
      </c>
      <c r="B77">
        <v>34</v>
      </c>
      <c r="C77" s="2">
        <v>5.4100000000000002E-2</v>
      </c>
      <c r="D77" s="2">
        <v>0</v>
      </c>
      <c r="E77" s="2">
        <v>0</v>
      </c>
      <c r="F77" s="2">
        <v>8.1100000000000005E-2</v>
      </c>
      <c r="G77" s="2">
        <v>0</v>
      </c>
      <c r="H77" s="1">
        <v>2.5231481481481481E-3</v>
      </c>
      <c r="I77" s="1">
        <v>2.0833333333333335E-4</v>
      </c>
      <c r="J77" s="1">
        <v>2.3148148148148146E-4</v>
      </c>
    </row>
    <row r="78" spans="1:10" x14ac:dyDescent="0.25">
      <c r="A78" t="s">
        <v>77</v>
      </c>
      <c r="B78">
        <v>35</v>
      </c>
      <c r="C78" s="2">
        <v>5.6300000000000003E-2</v>
      </c>
      <c r="D78" s="2">
        <v>0</v>
      </c>
      <c r="E78" s="2">
        <v>0</v>
      </c>
      <c r="F78" s="2">
        <v>9.8599999999999993E-2</v>
      </c>
      <c r="G78" s="2">
        <v>0</v>
      </c>
      <c r="H78" s="1">
        <v>2.7430555555555559E-3</v>
      </c>
      <c r="I78" s="1">
        <v>0</v>
      </c>
      <c r="J78" s="1">
        <v>1.1574074074074073E-4</v>
      </c>
    </row>
    <row r="79" spans="1:10" x14ac:dyDescent="0.25">
      <c r="A79" t="s">
        <v>78</v>
      </c>
      <c r="B79">
        <v>36</v>
      </c>
      <c r="C79" s="2">
        <v>5.6300000000000003E-2</v>
      </c>
      <c r="D79" s="2">
        <v>0</v>
      </c>
      <c r="E79" s="2">
        <v>0</v>
      </c>
      <c r="F79" s="2">
        <v>9.8599999999999993E-2</v>
      </c>
      <c r="G79" s="2">
        <v>0</v>
      </c>
      <c r="H79" s="1">
        <v>2.7430555555555559E-3</v>
      </c>
      <c r="I79" s="1">
        <v>0</v>
      </c>
      <c r="J79" s="1">
        <v>1.1574074074074073E-4</v>
      </c>
    </row>
    <row r="80" spans="1:10" x14ac:dyDescent="0.25">
      <c r="A80" t="s">
        <v>79</v>
      </c>
      <c r="B80">
        <v>37</v>
      </c>
      <c r="C80" s="2">
        <v>0.13639999999999999</v>
      </c>
      <c r="D80" s="2">
        <v>0</v>
      </c>
      <c r="E80" s="2">
        <v>0</v>
      </c>
      <c r="F80" s="2">
        <v>0.18179999999999999</v>
      </c>
      <c r="G80" s="2">
        <v>8.3299999999999999E-2</v>
      </c>
      <c r="H80" s="1">
        <v>2.6967592592592594E-3</v>
      </c>
      <c r="I80" s="1">
        <v>3.4722222222222222E-5</v>
      </c>
      <c r="J80" s="1">
        <v>7.0601851851851847E-4</v>
      </c>
    </row>
    <row r="81" spans="1:10" x14ac:dyDescent="0.25">
      <c r="A81" t="s">
        <v>80</v>
      </c>
      <c r="B81">
        <v>38</v>
      </c>
      <c r="C81" s="2">
        <v>0.13639999999999999</v>
      </c>
      <c r="D81" s="2">
        <v>0</v>
      </c>
      <c r="E81" s="2">
        <v>0</v>
      </c>
      <c r="F81" s="2">
        <v>0.18179999999999999</v>
      </c>
      <c r="G81" s="2">
        <v>8.3299999999999999E-2</v>
      </c>
      <c r="H81" s="1">
        <v>2.6967592592592594E-3</v>
      </c>
      <c r="I81" s="1">
        <v>3.4722222222222222E-5</v>
      </c>
      <c r="J81" s="1">
        <v>7.0601851851851847E-4</v>
      </c>
    </row>
    <row r="82" spans="1:10" x14ac:dyDescent="0.25">
      <c r="A82" t="s">
        <v>81</v>
      </c>
      <c r="B82">
        <v>39</v>
      </c>
      <c r="C82" s="2">
        <v>8.8200000000000001E-2</v>
      </c>
      <c r="D82" s="2">
        <v>0</v>
      </c>
      <c r="E82" s="2">
        <v>0</v>
      </c>
      <c r="F82" s="2">
        <v>8.8200000000000001E-2</v>
      </c>
      <c r="G82" s="2">
        <v>0</v>
      </c>
      <c r="H82" s="1">
        <v>2.9398148148148148E-3</v>
      </c>
      <c r="I82" s="1">
        <v>0</v>
      </c>
      <c r="J82" s="1">
        <v>8.1018518518518516E-5</v>
      </c>
    </row>
    <row r="83" spans="1:10" x14ac:dyDescent="0.25">
      <c r="A83" t="s">
        <v>82</v>
      </c>
      <c r="B83">
        <v>40</v>
      </c>
      <c r="C83" s="2">
        <v>8.8200000000000001E-2</v>
      </c>
      <c r="D83" s="2">
        <v>0</v>
      </c>
      <c r="E83" s="2">
        <v>0</v>
      </c>
      <c r="F83" s="2">
        <v>8.8200000000000001E-2</v>
      </c>
      <c r="G83" s="2">
        <v>0</v>
      </c>
      <c r="H83" s="1">
        <v>2.9398148148148148E-3</v>
      </c>
      <c r="I83" s="1">
        <v>0</v>
      </c>
      <c r="J83" s="1">
        <v>8.1018518518518516E-5</v>
      </c>
    </row>
    <row r="84" spans="1:10" x14ac:dyDescent="0.25">
      <c r="A84" t="s">
        <v>83</v>
      </c>
      <c r="B84">
        <v>41</v>
      </c>
      <c r="C84" s="2">
        <v>3.6999999999999998E-2</v>
      </c>
      <c r="D84" s="2">
        <v>0</v>
      </c>
      <c r="E84" s="2">
        <v>0</v>
      </c>
      <c r="F84" s="2">
        <v>0.12959999999999999</v>
      </c>
      <c r="G84" s="2">
        <v>0.28570000000000001</v>
      </c>
      <c r="H84" s="1">
        <v>2.8819444444444444E-3</v>
      </c>
      <c r="I84" s="1">
        <v>1.3888888888888889E-4</v>
      </c>
      <c r="J84" s="1">
        <v>5.7870370370370366E-5</v>
      </c>
    </row>
    <row r="85" spans="1:10" x14ac:dyDescent="0.25">
      <c r="A85" t="s">
        <v>84</v>
      </c>
      <c r="B85">
        <v>42</v>
      </c>
      <c r="C85" s="2">
        <v>3.6999999999999998E-2</v>
      </c>
      <c r="D85" s="2">
        <v>0</v>
      </c>
      <c r="E85" s="2">
        <v>0</v>
      </c>
      <c r="F85" s="2">
        <v>0.12959999999999999</v>
      </c>
      <c r="G85" s="2">
        <v>0.28570000000000001</v>
      </c>
      <c r="H85" s="1">
        <v>2.8819444444444444E-3</v>
      </c>
      <c r="I85" s="1">
        <v>1.3888888888888889E-4</v>
      </c>
      <c r="J85" s="1">
        <v>5.7870370370370366E-5</v>
      </c>
    </row>
    <row r="86" spans="1:10" x14ac:dyDescent="0.25">
      <c r="A86" t="s">
        <v>85</v>
      </c>
      <c r="B86">
        <v>43</v>
      </c>
      <c r="C86" s="2">
        <v>4.0800000000000003E-2</v>
      </c>
      <c r="D86" s="2">
        <v>0</v>
      </c>
      <c r="E86" s="2">
        <v>0</v>
      </c>
      <c r="F86" s="2">
        <v>6.1199999999999997E-2</v>
      </c>
      <c r="G86" s="2">
        <v>0</v>
      </c>
      <c r="H86" s="1">
        <v>2.8009259259259259E-3</v>
      </c>
      <c r="I86" s="1">
        <v>1.1574074074074073E-5</v>
      </c>
      <c r="J86" s="1">
        <v>4.6296296296296294E-5</v>
      </c>
    </row>
    <row r="87" spans="1:10" x14ac:dyDescent="0.25">
      <c r="A87" t="s">
        <v>86</v>
      </c>
      <c r="B87">
        <v>44</v>
      </c>
      <c r="C87" s="2">
        <v>4.0800000000000003E-2</v>
      </c>
      <c r="D87" s="2">
        <v>0</v>
      </c>
      <c r="E87" s="2">
        <v>0</v>
      </c>
      <c r="F87" s="2">
        <v>6.1199999999999997E-2</v>
      </c>
      <c r="G87" s="2">
        <v>0</v>
      </c>
      <c r="H87" s="1">
        <v>2.8009259259259259E-3</v>
      </c>
      <c r="I87" s="1">
        <v>1.1574074074074073E-5</v>
      </c>
      <c r="J87" s="1">
        <v>4.6296296296296294E-5</v>
      </c>
    </row>
    <row r="88" spans="1:10" x14ac:dyDescent="0.25">
      <c r="A88" t="s">
        <v>87</v>
      </c>
      <c r="B88">
        <v>45</v>
      </c>
      <c r="C88" s="2">
        <v>7.5499999999999998E-2</v>
      </c>
      <c r="D88" s="2">
        <v>0</v>
      </c>
      <c r="E88" s="2">
        <v>0</v>
      </c>
      <c r="F88" s="2">
        <v>0.1132</v>
      </c>
      <c r="G88" s="2">
        <v>0</v>
      </c>
      <c r="H88" s="1">
        <v>3.9004629629629632E-3</v>
      </c>
      <c r="I88" s="1">
        <v>4.6296296296296294E-5</v>
      </c>
      <c r="J88" s="1">
        <v>2.6620370370370372E-4</v>
      </c>
    </row>
    <row r="89" spans="1:10" x14ac:dyDescent="0.25">
      <c r="A89" t="s">
        <v>88</v>
      </c>
      <c r="B89">
        <v>46</v>
      </c>
      <c r="C89" s="2">
        <v>7.5499999999999998E-2</v>
      </c>
      <c r="D89" s="2">
        <v>0</v>
      </c>
      <c r="E89" s="2">
        <v>0</v>
      </c>
      <c r="F89" s="2">
        <v>0.1132</v>
      </c>
      <c r="G89" s="2">
        <v>0</v>
      </c>
      <c r="H89" s="1">
        <v>3.9004629629629632E-3</v>
      </c>
      <c r="I89" s="1">
        <v>4.6296296296296294E-5</v>
      </c>
      <c r="J89" s="1">
        <v>2.6620370370370372E-4</v>
      </c>
    </row>
    <row r="90" spans="1:10" x14ac:dyDescent="0.25">
      <c r="A90" t="s">
        <v>89</v>
      </c>
      <c r="B90">
        <v>47</v>
      </c>
      <c r="C90" s="2">
        <v>3.0800000000000001E-2</v>
      </c>
      <c r="D90" s="2">
        <v>1.54E-2</v>
      </c>
      <c r="E90" s="2">
        <v>0</v>
      </c>
      <c r="F90" s="2">
        <v>7.6899999999999996E-2</v>
      </c>
      <c r="G90" s="2">
        <v>0.4</v>
      </c>
      <c r="H90" s="1">
        <v>2.9745370370370373E-3</v>
      </c>
      <c r="I90" s="1">
        <v>1.3888888888888889E-4</v>
      </c>
      <c r="J90" s="1">
        <v>8.1018518518518516E-5</v>
      </c>
    </row>
    <row r="91" spans="1:10" x14ac:dyDescent="0.25">
      <c r="A91" t="s">
        <v>90</v>
      </c>
      <c r="B91">
        <v>48</v>
      </c>
      <c r="C91" s="2">
        <v>3.0800000000000001E-2</v>
      </c>
      <c r="D91" s="2">
        <v>1.54E-2</v>
      </c>
      <c r="E91" s="2">
        <v>0</v>
      </c>
      <c r="F91" s="2">
        <v>7.6899999999999996E-2</v>
      </c>
      <c r="G91" s="2">
        <v>0.4</v>
      </c>
      <c r="H91" s="1">
        <v>2.9745370370370373E-3</v>
      </c>
      <c r="I91" s="1">
        <v>1.3888888888888889E-4</v>
      </c>
      <c r="J91" s="1">
        <v>8.1018518518518516E-5</v>
      </c>
    </row>
    <row r="92" spans="1:10" x14ac:dyDescent="0.25">
      <c r="A92" t="s">
        <v>91</v>
      </c>
      <c r="B92">
        <v>49</v>
      </c>
      <c r="C92" s="2">
        <v>6.7799999999999999E-2</v>
      </c>
      <c r="D92" s="2">
        <v>0</v>
      </c>
      <c r="E92" s="2">
        <v>0</v>
      </c>
      <c r="F92" s="2">
        <v>0.1017</v>
      </c>
      <c r="G92" s="2">
        <v>0</v>
      </c>
      <c r="H92" s="1">
        <v>2.8935185185185188E-3</v>
      </c>
      <c r="I92" s="1">
        <v>3.3564814814814812E-4</v>
      </c>
      <c r="J92" s="1">
        <v>4.6296296296296294E-5</v>
      </c>
    </row>
    <row r="93" spans="1:10" x14ac:dyDescent="0.25">
      <c r="A93" t="s">
        <v>92</v>
      </c>
      <c r="B93">
        <v>50</v>
      </c>
      <c r="C93" s="2">
        <v>6.7799999999999999E-2</v>
      </c>
      <c r="D93" s="2">
        <v>0</v>
      </c>
      <c r="E93" s="2">
        <v>0</v>
      </c>
      <c r="F93" s="2">
        <v>0.1017</v>
      </c>
      <c r="G93" s="2">
        <v>0</v>
      </c>
      <c r="H93" s="1">
        <v>2.8935185185185188E-3</v>
      </c>
      <c r="I93" s="1">
        <v>3.3564814814814812E-4</v>
      </c>
      <c r="J93" s="1">
        <v>4.6296296296296294E-5</v>
      </c>
    </row>
    <row r="94" spans="1:10" x14ac:dyDescent="0.25">
      <c r="A94" t="s">
        <v>93</v>
      </c>
      <c r="B94">
        <v>51</v>
      </c>
      <c r="C94" s="2">
        <v>6.0600000000000001E-2</v>
      </c>
      <c r="D94" s="2">
        <v>0</v>
      </c>
      <c r="E94" s="2">
        <v>0</v>
      </c>
      <c r="F94" s="2">
        <v>0.1061</v>
      </c>
      <c r="G94" s="2">
        <v>0</v>
      </c>
      <c r="H94" s="1">
        <v>2.9282407407407412E-3</v>
      </c>
      <c r="I94" s="1">
        <v>2.4305555555555552E-4</v>
      </c>
      <c r="J94" s="1">
        <v>2.199074074074074E-4</v>
      </c>
    </row>
    <row r="95" spans="1:10" x14ac:dyDescent="0.25">
      <c r="A95" t="s">
        <v>94</v>
      </c>
      <c r="B95">
        <v>52</v>
      </c>
      <c r="C95" s="2">
        <v>6.0600000000000001E-2</v>
      </c>
      <c r="D95" s="2">
        <v>0</v>
      </c>
      <c r="E95" s="2">
        <v>0</v>
      </c>
      <c r="F95" s="2">
        <v>0.1061</v>
      </c>
      <c r="G95" s="2">
        <v>0</v>
      </c>
      <c r="H95" s="1">
        <v>2.9282407407407412E-3</v>
      </c>
      <c r="I95" s="1">
        <v>2.4305555555555552E-4</v>
      </c>
      <c r="J95" s="1">
        <v>2.199074074074074E-4</v>
      </c>
    </row>
    <row r="96" spans="1:10" x14ac:dyDescent="0.25">
      <c r="A96" t="s">
        <v>95</v>
      </c>
      <c r="B96">
        <v>53</v>
      </c>
      <c r="C96" s="2">
        <v>5.9700000000000003E-2</v>
      </c>
      <c r="D96" s="2">
        <v>0</v>
      </c>
      <c r="E96" s="2">
        <v>0</v>
      </c>
      <c r="F96" s="2">
        <v>5.9700000000000003E-2</v>
      </c>
      <c r="G96" s="2">
        <v>0</v>
      </c>
      <c r="H96" s="1">
        <v>2.9050925925925928E-3</v>
      </c>
      <c r="I96" s="1">
        <v>2.3148148148148147E-5</v>
      </c>
      <c r="J96" s="1">
        <v>4.6296296296296294E-5</v>
      </c>
    </row>
    <row r="97" spans="1:10" x14ac:dyDescent="0.25">
      <c r="A97" t="s">
        <v>96</v>
      </c>
      <c r="B97">
        <v>54</v>
      </c>
      <c r="C97" s="2">
        <v>5.9700000000000003E-2</v>
      </c>
      <c r="D97" s="2">
        <v>0</v>
      </c>
      <c r="E97" s="2">
        <v>0</v>
      </c>
      <c r="F97" s="2">
        <v>5.9700000000000003E-2</v>
      </c>
      <c r="G97" s="2">
        <v>0</v>
      </c>
      <c r="H97" s="1">
        <v>2.9050925925925928E-3</v>
      </c>
      <c r="I97" s="1">
        <v>2.3148148148148147E-5</v>
      </c>
      <c r="J97" s="1">
        <v>4.6296296296296294E-5</v>
      </c>
    </row>
    <row r="98" spans="1:10" x14ac:dyDescent="0.25">
      <c r="A98" t="s">
        <v>97</v>
      </c>
      <c r="B98">
        <v>55</v>
      </c>
      <c r="C98" s="2">
        <v>0</v>
      </c>
      <c r="D98" s="2">
        <v>0</v>
      </c>
      <c r="E98" s="2">
        <v>0</v>
      </c>
      <c r="F98" s="2">
        <v>2.86E-2</v>
      </c>
      <c r="G98" s="2">
        <v>1</v>
      </c>
      <c r="H98" s="1">
        <v>2.6504629629629625E-3</v>
      </c>
      <c r="I98" s="1">
        <v>0</v>
      </c>
      <c r="J98" s="1">
        <v>1.5046296296296297E-4</v>
      </c>
    </row>
    <row r="99" spans="1:10" x14ac:dyDescent="0.25">
      <c r="A99" t="s">
        <v>98</v>
      </c>
      <c r="B99">
        <v>56</v>
      </c>
      <c r="C99" s="2">
        <v>0</v>
      </c>
      <c r="D99" s="2">
        <v>0</v>
      </c>
      <c r="E99" s="2">
        <v>0</v>
      </c>
      <c r="F99" s="2">
        <v>2.86E-2</v>
      </c>
      <c r="G99" s="2">
        <v>1</v>
      </c>
      <c r="H99" s="1">
        <v>2.6504629629629625E-3</v>
      </c>
      <c r="I99" s="1">
        <v>0</v>
      </c>
      <c r="J99" s="1">
        <v>1.5046296296296297E-4</v>
      </c>
    </row>
    <row r="100" spans="1:10" x14ac:dyDescent="0.25">
      <c r="A100" t="s">
        <v>99</v>
      </c>
      <c r="B100">
        <v>57</v>
      </c>
      <c r="C100" s="2">
        <v>4.7600000000000003E-2</v>
      </c>
      <c r="D100" s="2">
        <v>0</v>
      </c>
      <c r="E100" s="2">
        <v>0</v>
      </c>
      <c r="F100" s="2">
        <v>0.11899999999999999</v>
      </c>
      <c r="G100" s="2">
        <v>0</v>
      </c>
      <c r="H100" s="1">
        <v>2.9513888888888888E-3</v>
      </c>
      <c r="I100" s="1">
        <v>4.6296296296296293E-4</v>
      </c>
      <c r="J100" s="1">
        <v>9.2592592592592588E-5</v>
      </c>
    </row>
    <row r="101" spans="1:10" x14ac:dyDescent="0.25">
      <c r="A101" t="s">
        <v>100</v>
      </c>
      <c r="B101">
        <v>58</v>
      </c>
      <c r="C101" s="2">
        <v>4.7600000000000003E-2</v>
      </c>
      <c r="D101" s="2">
        <v>0</v>
      </c>
      <c r="E101" s="2">
        <v>0</v>
      </c>
      <c r="F101" s="2">
        <v>0.11899999999999999</v>
      </c>
      <c r="G101" s="2">
        <v>0</v>
      </c>
      <c r="H101" s="1">
        <v>2.9513888888888888E-3</v>
      </c>
      <c r="I101" s="1">
        <v>4.6296296296296293E-4</v>
      </c>
      <c r="J101" s="1">
        <v>9.2592592592592588E-5</v>
      </c>
    </row>
    <row r="102" spans="1:10" x14ac:dyDescent="0.25">
      <c r="A102" t="s">
        <v>101</v>
      </c>
      <c r="B102">
        <v>59</v>
      </c>
      <c r="C102" s="2">
        <v>2.9899999999999999E-2</v>
      </c>
      <c r="D102" s="2">
        <v>0</v>
      </c>
      <c r="E102" s="2">
        <v>0</v>
      </c>
      <c r="F102" s="2">
        <v>0.1045</v>
      </c>
      <c r="G102" s="2">
        <v>0</v>
      </c>
      <c r="H102" s="1">
        <v>2.7199074074074074E-3</v>
      </c>
      <c r="I102" s="1">
        <v>2.3148148148148147E-5</v>
      </c>
      <c r="J102" s="1">
        <v>1.6203703703703703E-4</v>
      </c>
    </row>
    <row r="103" spans="1:10" x14ac:dyDescent="0.25">
      <c r="A103" t="s">
        <v>102</v>
      </c>
      <c r="B103">
        <v>60</v>
      </c>
      <c r="C103" s="2">
        <v>2.9899999999999999E-2</v>
      </c>
      <c r="D103" s="2">
        <v>0</v>
      </c>
      <c r="E103" s="2">
        <v>0</v>
      </c>
      <c r="F103" s="2">
        <v>0.1045</v>
      </c>
      <c r="G103" s="2">
        <v>0</v>
      </c>
      <c r="H103" s="1">
        <v>2.7199074074074074E-3</v>
      </c>
      <c r="I103" s="1">
        <v>2.3148148148148147E-5</v>
      </c>
      <c r="J103" s="1">
        <v>1.6203703703703703E-4</v>
      </c>
    </row>
    <row r="104" spans="1:10" x14ac:dyDescent="0.25">
      <c r="A104" t="s">
        <v>103</v>
      </c>
      <c r="B104">
        <v>61</v>
      </c>
      <c r="C104" s="2">
        <v>2.7799999999999998E-2</v>
      </c>
      <c r="D104" s="2">
        <v>0</v>
      </c>
      <c r="E104" s="2">
        <v>0</v>
      </c>
      <c r="F104" s="2">
        <v>8.3299999999999999E-2</v>
      </c>
      <c r="G104" s="2">
        <v>0</v>
      </c>
      <c r="H104" s="1">
        <v>2.6388888888888885E-3</v>
      </c>
      <c r="I104" s="1">
        <v>2.3148148148148147E-5</v>
      </c>
      <c r="J104" s="1">
        <v>6.9444444444444444E-5</v>
      </c>
    </row>
    <row r="105" spans="1:10" x14ac:dyDescent="0.25">
      <c r="A105" t="s">
        <v>104</v>
      </c>
      <c r="B105">
        <v>62</v>
      </c>
      <c r="C105" s="2">
        <v>2.7799999999999998E-2</v>
      </c>
      <c r="D105" s="2">
        <v>0</v>
      </c>
      <c r="E105" s="2">
        <v>0</v>
      </c>
      <c r="F105" s="2">
        <v>8.3299999999999999E-2</v>
      </c>
      <c r="G105" s="2">
        <v>0</v>
      </c>
      <c r="H105" s="1">
        <v>2.6388888888888885E-3</v>
      </c>
      <c r="I105" s="1">
        <v>2.3148148148148147E-5</v>
      </c>
      <c r="J105" s="1">
        <v>6.9444444444444444E-5</v>
      </c>
    </row>
    <row r="106" spans="1:10" x14ac:dyDescent="0.25">
      <c r="A106" t="s">
        <v>105</v>
      </c>
      <c r="B106">
        <v>63</v>
      </c>
      <c r="C106" s="2">
        <v>0.1081</v>
      </c>
      <c r="D106" s="2">
        <v>0</v>
      </c>
      <c r="E106" s="2">
        <v>0</v>
      </c>
      <c r="F106" s="2">
        <v>0.16220000000000001</v>
      </c>
      <c r="G106" s="2">
        <v>8.3299999999999999E-2</v>
      </c>
      <c r="H106" s="1">
        <v>2.5925925925925925E-3</v>
      </c>
      <c r="I106" s="1">
        <v>1.273148148148148E-4</v>
      </c>
      <c r="J106" s="1">
        <v>1.0416666666666667E-4</v>
      </c>
    </row>
    <row r="107" spans="1:10" x14ac:dyDescent="0.25">
      <c r="A107" t="s">
        <v>106</v>
      </c>
      <c r="B107">
        <v>64</v>
      </c>
      <c r="C107" s="2">
        <v>0.1081</v>
      </c>
      <c r="D107" s="2">
        <v>0</v>
      </c>
      <c r="E107" s="2">
        <v>0</v>
      </c>
      <c r="F107" s="2">
        <v>0.16220000000000001</v>
      </c>
      <c r="G107" s="2">
        <v>8.3299999999999999E-2</v>
      </c>
      <c r="H107" s="1">
        <v>2.5925925925925925E-3</v>
      </c>
      <c r="I107" s="1">
        <v>1.273148148148148E-4</v>
      </c>
      <c r="J107" s="1">
        <v>1.0416666666666667E-4</v>
      </c>
    </row>
    <row r="108" spans="1:10" x14ac:dyDescent="0.25">
      <c r="A108" t="s">
        <v>107</v>
      </c>
      <c r="B108">
        <v>65</v>
      </c>
      <c r="C108" s="2">
        <v>4.8399999999999999E-2</v>
      </c>
      <c r="D108" s="2">
        <v>0</v>
      </c>
      <c r="E108" s="2">
        <v>0</v>
      </c>
      <c r="F108" s="2">
        <v>9.6799999999999997E-2</v>
      </c>
      <c r="G108" s="2">
        <v>0</v>
      </c>
      <c r="H108" s="1">
        <v>3.0671296296296297E-3</v>
      </c>
      <c r="I108" s="1">
        <v>0</v>
      </c>
      <c r="J108" s="1">
        <v>3.3564814814814812E-4</v>
      </c>
    </row>
    <row r="109" spans="1:10" x14ac:dyDescent="0.25">
      <c r="A109" t="s">
        <v>108</v>
      </c>
      <c r="B109">
        <v>66</v>
      </c>
      <c r="C109" s="2">
        <v>4.8399999999999999E-2</v>
      </c>
      <c r="D109" s="2">
        <v>0</v>
      </c>
      <c r="E109" s="2">
        <v>0</v>
      </c>
      <c r="F109" s="2">
        <v>9.6799999999999997E-2</v>
      </c>
      <c r="G109" s="2">
        <v>0</v>
      </c>
      <c r="H109" s="1">
        <v>3.0671296296296297E-3</v>
      </c>
      <c r="I109" s="1">
        <v>0</v>
      </c>
      <c r="J109" s="1">
        <v>3.3564814814814812E-4</v>
      </c>
    </row>
    <row r="110" spans="1:10" x14ac:dyDescent="0.25">
      <c r="A110" t="s">
        <v>109</v>
      </c>
      <c r="B110">
        <v>67</v>
      </c>
      <c r="C110" s="2">
        <v>0</v>
      </c>
      <c r="D110" s="2">
        <v>0</v>
      </c>
      <c r="E110" s="2">
        <v>0</v>
      </c>
      <c r="F110" s="2">
        <v>0</v>
      </c>
      <c r="G110" s="2">
        <v>0</v>
      </c>
      <c r="H110" s="1">
        <v>2.4537037037037036E-3</v>
      </c>
      <c r="J110" s="1">
        <v>2.199074074074074E-4</v>
      </c>
    </row>
    <row r="111" spans="1:10" x14ac:dyDescent="0.25">
      <c r="A111" t="s">
        <v>110</v>
      </c>
      <c r="B111">
        <v>68</v>
      </c>
      <c r="C111" s="2">
        <v>0</v>
      </c>
      <c r="D111" s="2">
        <v>0</v>
      </c>
      <c r="E111" s="2">
        <v>0</v>
      </c>
      <c r="F111" s="2">
        <v>0</v>
      </c>
      <c r="G111" s="2">
        <v>0</v>
      </c>
      <c r="H111" s="1">
        <v>2.4537037037037036E-3</v>
      </c>
      <c r="J111" s="1">
        <v>2.199074074074074E-4</v>
      </c>
    </row>
    <row r="112" spans="1:10" x14ac:dyDescent="0.25">
      <c r="A112" t="s">
        <v>111</v>
      </c>
      <c r="B112">
        <v>69</v>
      </c>
      <c r="C112" s="2">
        <v>5.2600000000000001E-2</v>
      </c>
      <c r="D112" s="2">
        <v>0</v>
      </c>
      <c r="E112" s="2">
        <v>0</v>
      </c>
      <c r="F112" s="2">
        <v>0.1447</v>
      </c>
      <c r="G112" s="2">
        <v>0.63639999999999997</v>
      </c>
      <c r="H112" s="1">
        <v>2.3958333333333336E-3</v>
      </c>
      <c r="I112" s="1">
        <v>0</v>
      </c>
      <c r="J112" s="1">
        <v>5.7870370370370366E-5</v>
      </c>
    </row>
    <row r="113" spans="1:10" x14ac:dyDescent="0.25">
      <c r="A113" t="s">
        <v>112</v>
      </c>
      <c r="B113">
        <v>70</v>
      </c>
      <c r="C113" s="2">
        <v>5.2600000000000001E-2</v>
      </c>
      <c r="D113" s="2">
        <v>0</v>
      </c>
      <c r="E113" s="2">
        <v>0</v>
      </c>
      <c r="F113" s="2">
        <v>0.1447</v>
      </c>
      <c r="G113" s="2">
        <v>0.63639999999999997</v>
      </c>
      <c r="H113" s="1">
        <v>2.3958333333333336E-3</v>
      </c>
      <c r="I113" s="1">
        <v>0</v>
      </c>
      <c r="J113" s="1">
        <v>5.7870370370370366E-5</v>
      </c>
    </row>
    <row r="114" spans="1:10" x14ac:dyDescent="0.25">
      <c r="A114" t="s">
        <v>113</v>
      </c>
      <c r="B114">
        <v>71</v>
      </c>
      <c r="C114" s="2">
        <v>2.7799999999999998E-2</v>
      </c>
      <c r="D114" s="2">
        <v>0</v>
      </c>
      <c r="E114" s="2">
        <v>1.37E-2</v>
      </c>
      <c r="F114" s="2">
        <v>4.1700000000000001E-2</v>
      </c>
      <c r="G114" s="2">
        <v>0</v>
      </c>
      <c r="H114" s="1">
        <v>2.4421296296296296E-3</v>
      </c>
      <c r="I114" s="1">
        <v>9.2592592592592588E-5</v>
      </c>
      <c r="J114" s="1">
        <v>1.273148148148148E-4</v>
      </c>
    </row>
    <row r="115" spans="1:10" x14ac:dyDescent="0.25">
      <c r="A115" t="s">
        <v>114</v>
      </c>
      <c r="B115">
        <v>72</v>
      </c>
      <c r="C115" s="2">
        <v>2.7799999999999998E-2</v>
      </c>
      <c r="D115" s="2">
        <v>0</v>
      </c>
      <c r="E115" s="2">
        <v>1.37E-2</v>
      </c>
      <c r="F115" s="2">
        <v>4.1700000000000001E-2</v>
      </c>
      <c r="G115" s="2">
        <v>0</v>
      </c>
      <c r="H115" s="1">
        <v>2.4421296296296296E-3</v>
      </c>
      <c r="I115" s="1">
        <v>9.2592592592592588E-5</v>
      </c>
      <c r="J115" s="1">
        <v>1.273148148148148E-4</v>
      </c>
    </row>
    <row r="116" spans="1:10" x14ac:dyDescent="0.25">
      <c r="A116" t="s">
        <v>115</v>
      </c>
      <c r="B116">
        <v>73</v>
      </c>
      <c r="C116" s="2">
        <v>3.0800000000000001E-2</v>
      </c>
      <c r="D116" s="2">
        <v>0</v>
      </c>
      <c r="E116" s="2">
        <v>2.9899999999999999E-2</v>
      </c>
      <c r="F116" s="2">
        <v>7.6899999999999996E-2</v>
      </c>
      <c r="G116" s="2">
        <v>0.2</v>
      </c>
      <c r="H116" s="1">
        <v>2.8124999999999995E-3</v>
      </c>
      <c r="I116" s="1">
        <v>1.1574074074074073E-5</v>
      </c>
      <c r="J116" s="1">
        <v>1.1574074074074073E-4</v>
      </c>
    </row>
    <row r="117" spans="1:10" x14ac:dyDescent="0.25">
      <c r="A117" t="s">
        <v>116</v>
      </c>
      <c r="B117">
        <v>74</v>
      </c>
      <c r="C117" s="2">
        <v>3.0800000000000001E-2</v>
      </c>
      <c r="D117" s="2">
        <v>0</v>
      </c>
      <c r="E117" s="2">
        <v>2.9899999999999999E-2</v>
      </c>
      <c r="F117" s="2">
        <v>7.6899999999999996E-2</v>
      </c>
      <c r="G117" s="2">
        <v>0.2</v>
      </c>
      <c r="H117" s="1">
        <v>2.8124999999999995E-3</v>
      </c>
      <c r="I117" s="1">
        <v>1.1574074074074073E-5</v>
      </c>
      <c r="J117" s="1">
        <v>1.1574074074074073E-4</v>
      </c>
    </row>
    <row r="118" spans="1:10" x14ac:dyDescent="0.25">
      <c r="A118" t="s">
        <v>117</v>
      </c>
      <c r="B118">
        <v>75</v>
      </c>
      <c r="C118" s="2">
        <v>0.13639999999999999</v>
      </c>
      <c r="D118" s="2">
        <v>0</v>
      </c>
      <c r="E118" s="2">
        <v>0</v>
      </c>
      <c r="F118" s="2">
        <v>0.20449999999999999</v>
      </c>
      <c r="G118" s="2">
        <v>0</v>
      </c>
      <c r="H118" s="1">
        <v>2.7546296296296294E-3</v>
      </c>
      <c r="I118" s="1">
        <v>7.291666666666667E-4</v>
      </c>
      <c r="J118" s="1">
        <v>8.1018518518518516E-5</v>
      </c>
    </row>
    <row r="119" spans="1:10" x14ac:dyDescent="0.25">
      <c r="A119" t="s">
        <v>118</v>
      </c>
      <c r="B119">
        <v>76</v>
      </c>
      <c r="C119" s="2">
        <v>0.13639999999999999</v>
      </c>
      <c r="D119" s="2">
        <v>0</v>
      </c>
      <c r="E119" s="2">
        <v>0</v>
      </c>
      <c r="F119" s="2">
        <v>0.20449999999999999</v>
      </c>
      <c r="G119" s="2">
        <v>0</v>
      </c>
      <c r="H119" s="1">
        <v>2.7546296296296294E-3</v>
      </c>
      <c r="I119" s="1">
        <v>7.291666666666667E-4</v>
      </c>
      <c r="J119" s="1">
        <v>8.1018518518518516E-5</v>
      </c>
    </row>
    <row r="120" spans="1:10" x14ac:dyDescent="0.25">
      <c r="A120" t="s">
        <v>119</v>
      </c>
      <c r="B120">
        <v>77</v>
      </c>
      <c r="C120" s="2">
        <v>1.6400000000000001E-2</v>
      </c>
      <c r="D120" s="2">
        <v>0</v>
      </c>
      <c r="E120" s="2">
        <v>0</v>
      </c>
      <c r="F120" s="2">
        <v>8.2000000000000003E-2</v>
      </c>
      <c r="G120" s="2">
        <v>0</v>
      </c>
      <c r="H120" s="1">
        <v>2.7199074074074074E-3</v>
      </c>
      <c r="I120" s="1">
        <v>3.4722222222222222E-5</v>
      </c>
      <c r="J120" s="1">
        <v>6.9444444444444444E-5</v>
      </c>
    </row>
    <row r="121" spans="1:10" x14ac:dyDescent="0.25">
      <c r="A121" t="s">
        <v>120</v>
      </c>
      <c r="B121">
        <v>78</v>
      </c>
      <c r="C121" s="2">
        <v>1.6400000000000001E-2</v>
      </c>
      <c r="D121" s="2">
        <v>0</v>
      </c>
      <c r="E121" s="2">
        <v>0</v>
      </c>
      <c r="F121" s="2">
        <v>8.2000000000000003E-2</v>
      </c>
      <c r="G121" s="2">
        <v>0</v>
      </c>
      <c r="H121" s="1">
        <v>2.7199074074074074E-3</v>
      </c>
      <c r="I121" s="1">
        <v>3.4722222222222222E-5</v>
      </c>
      <c r="J121" s="1">
        <v>6.9444444444444444E-5</v>
      </c>
    </row>
    <row r="122" spans="1:10" x14ac:dyDescent="0.25">
      <c r="A122" t="s">
        <v>121</v>
      </c>
      <c r="B122">
        <v>79</v>
      </c>
      <c r="C122" s="2">
        <v>0.13039999999999999</v>
      </c>
      <c r="D122" s="2">
        <v>0</v>
      </c>
      <c r="E122" s="2">
        <v>0</v>
      </c>
      <c r="F122" s="2">
        <v>0.19570000000000001</v>
      </c>
      <c r="G122" s="2">
        <v>0</v>
      </c>
      <c r="H122" s="1">
        <v>3.0092592592592588E-3</v>
      </c>
      <c r="I122" s="1">
        <v>0</v>
      </c>
      <c r="J122" s="1">
        <v>1.273148148148148E-4</v>
      </c>
    </row>
    <row r="123" spans="1:10" x14ac:dyDescent="0.25">
      <c r="A123" t="s">
        <v>122</v>
      </c>
      <c r="B123">
        <v>80</v>
      </c>
      <c r="C123" s="2">
        <v>0.13039999999999999</v>
      </c>
      <c r="D123" s="2">
        <v>0</v>
      </c>
      <c r="E123" s="2">
        <v>0</v>
      </c>
      <c r="F123" s="2">
        <v>0.19570000000000001</v>
      </c>
      <c r="G123" s="2">
        <v>0</v>
      </c>
      <c r="H123" s="1">
        <v>3.0092592592592588E-3</v>
      </c>
      <c r="I123" s="1">
        <v>0</v>
      </c>
      <c r="J123" s="1">
        <v>1.273148148148148E-4</v>
      </c>
    </row>
    <row r="124" spans="1:10" x14ac:dyDescent="0.25">
      <c r="A124" t="s">
        <v>123</v>
      </c>
      <c r="B124">
        <v>81</v>
      </c>
      <c r="C124" s="2">
        <v>6.5600000000000006E-2</v>
      </c>
      <c r="D124" s="2">
        <v>0</v>
      </c>
      <c r="E124" s="2">
        <v>0</v>
      </c>
      <c r="F124" s="2">
        <v>9.8400000000000001E-2</v>
      </c>
      <c r="G124" s="2">
        <v>0</v>
      </c>
      <c r="H124" s="1">
        <v>2.7777777777777779E-3</v>
      </c>
      <c r="I124" s="1">
        <v>1.0416666666666667E-4</v>
      </c>
      <c r="J124" s="1">
        <v>9.2592592592592588E-5</v>
      </c>
    </row>
    <row r="125" spans="1:10" x14ac:dyDescent="0.25">
      <c r="A125" t="s">
        <v>124</v>
      </c>
      <c r="B125">
        <v>82</v>
      </c>
      <c r="C125" s="2">
        <v>6.5600000000000006E-2</v>
      </c>
      <c r="D125" s="2">
        <v>0</v>
      </c>
      <c r="E125" s="2">
        <v>0</v>
      </c>
      <c r="F125" s="2">
        <v>9.8400000000000001E-2</v>
      </c>
      <c r="G125" s="2">
        <v>0</v>
      </c>
      <c r="H125" s="1">
        <v>2.7777777777777779E-3</v>
      </c>
      <c r="I125" s="1">
        <v>1.0416666666666667E-4</v>
      </c>
      <c r="J125" s="1">
        <v>9.2592592592592588E-5</v>
      </c>
    </row>
    <row r="126" spans="1:10" x14ac:dyDescent="0.25">
      <c r="A126" t="s">
        <v>125</v>
      </c>
      <c r="B126">
        <v>83</v>
      </c>
      <c r="C126" s="2">
        <v>0.1111</v>
      </c>
      <c r="D126" s="2">
        <v>0</v>
      </c>
      <c r="E126" s="2">
        <v>0</v>
      </c>
      <c r="F126" s="2">
        <v>0.127</v>
      </c>
      <c r="G126" s="2">
        <v>0</v>
      </c>
      <c r="H126" s="1">
        <v>2.3958333333333336E-3</v>
      </c>
      <c r="I126" s="1">
        <v>1.273148148148148E-4</v>
      </c>
      <c r="J126" s="1">
        <v>1.7361111111111112E-4</v>
      </c>
    </row>
    <row r="127" spans="1:10" x14ac:dyDescent="0.25">
      <c r="A127" t="s">
        <v>126</v>
      </c>
      <c r="B127">
        <v>84</v>
      </c>
      <c r="C127" s="2">
        <v>0.1111</v>
      </c>
      <c r="D127" s="2">
        <v>0</v>
      </c>
      <c r="E127" s="2">
        <v>0</v>
      </c>
      <c r="F127" s="2">
        <v>0.127</v>
      </c>
      <c r="G127" s="2">
        <v>0</v>
      </c>
      <c r="H127" s="1">
        <v>2.3958333333333336E-3</v>
      </c>
      <c r="I127" s="1">
        <v>1.273148148148148E-4</v>
      </c>
      <c r="J127" s="1">
        <v>1.7361111111111112E-4</v>
      </c>
    </row>
    <row r="128" spans="1:10" x14ac:dyDescent="0.25">
      <c r="A128" t="s">
        <v>127</v>
      </c>
      <c r="B128">
        <v>85</v>
      </c>
      <c r="C128" s="2">
        <v>5.45E-2</v>
      </c>
      <c r="D128" s="2">
        <v>0</v>
      </c>
      <c r="E128" s="2">
        <v>0</v>
      </c>
      <c r="F128" s="2">
        <v>0.14549999999999999</v>
      </c>
      <c r="G128" s="2">
        <v>0.125</v>
      </c>
      <c r="H128" s="1">
        <v>2.615740740740741E-3</v>
      </c>
      <c r="I128" s="1">
        <v>5.9027777777777778E-4</v>
      </c>
      <c r="J128" s="1">
        <v>6.9444444444444444E-5</v>
      </c>
    </row>
    <row r="129" spans="1:10" x14ac:dyDescent="0.25">
      <c r="A129" t="s">
        <v>128</v>
      </c>
      <c r="B129">
        <v>86</v>
      </c>
      <c r="C129" s="2">
        <v>5.45E-2</v>
      </c>
      <c r="D129" s="2">
        <v>0</v>
      </c>
      <c r="E129" s="2">
        <v>0</v>
      </c>
      <c r="F129" s="2">
        <v>0.14549999999999999</v>
      </c>
      <c r="G129" s="2">
        <v>0.125</v>
      </c>
      <c r="H129" s="1">
        <v>2.615740740740741E-3</v>
      </c>
      <c r="I129" s="1">
        <v>5.9027777777777778E-4</v>
      </c>
      <c r="J129" s="1">
        <v>6.9444444444444444E-5</v>
      </c>
    </row>
    <row r="130" spans="1:10" x14ac:dyDescent="0.25">
      <c r="A130" t="s">
        <v>129</v>
      </c>
      <c r="B130">
        <v>87</v>
      </c>
      <c r="C130" s="2">
        <v>0.10199999999999999</v>
      </c>
      <c r="D130" s="2">
        <v>0</v>
      </c>
      <c r="E130" s="2">
        <v>0.02</v>
      </c>
      <c r="F130" s="2">
        <v>0.10199999999999999</v>
      </c>
      <c r="G130" s="2">
        <v>0</v>
      </c>
      <c r="H130" s="1">
        <v>2.6967592592592594E-3</v>
      </c>
      <c r="I130" s="1">
        <v>0</v>
      </c>
      <c r="J130" s="1">
        <v>4.6296296296296294E-5</v>
      </c>
    </row>
    <row r="131" spans="1:10" x14ac:dyDescent="0.25">
      <c r="A131" t="s">
        <v>130</v>
      </c>
      <c r="B131">
        <v>88</v>
      </c>
      <c r="C131" s="2">
        <v>0.10199999999999999</v>
      </c>
      <c r="D131" s="2">
        <v>0</v>
      </c>
      <c r="E131" s="2">
        <v>0.02</v>
      </c>
      <c r="F131" s="2">
        <v>0.10199999999999999</v>
      </c>
      <c r="G131" s="2">
        <v>0</v>
      </c>
      <c r="H131" s="1">
        <v>2.6967592592592594E-3</v>
      </c>
      <c r="I131" s="1">
        <v>0</v>
      </c>
      <c r="J131" s="1">
        <v>4.6296296296296294E-5</v>
      </c>
    </row>
    <row r="132" spans="1:10" x14ac:dyDescent="0.25">
      <c r="A132" t="s">
        <v>131</v>
      </c>
      <c r="B132">
        <v>89</v>
      </c>
      <c r="C132" s="2">
        <v>0.1</v>
      </c>
      <c r="D132" s="2">
        <v>0</v>
      </c>
      <c r="E132" s="2">
        <v>0</v>
      </c>
      <c r="F132" s="2">
        <v>0.1</v>
      </c>
      <c r="G132" s="2">
        <v>0</v>
      </c>
      <c r="H132" s="1">
        <v>3.1365740740740742E-3</v>
      </c>
      <c r="I132" s="1">
        <v>0</v>
      </c>
      <c r="J132" s="1">
        <v>1.3888888888888889E-4</v>
      </c>
    </row>
    <row r="133" spans="1:10" x14ac:dyDescent="0.25">
      <c r="A133" t="s">
        <v>132</v>
      </c>
      <c r="B133">
        <v>90</v>
      </c>
      <c r="C133" s="2">
        <v>0.1</v>
      </c>
      <c r="D133" s="2">
        <v>0</v>
      </c>
      <c r="E133" s="2">
        <v>0</v>
      </c>
      <c r="F133" s="2">
        <v>0.1</v>
      </c>
      <c r="G133" s="2">
        <v>0</v>
      </c>
      <c r="H133" s="1">
        <v>3.1365740740740742E-3</v>
      </c>
      <c r="I133" s="1">
        <v>0</v>
      </c>
      <c r="J133" s="1">
        <v>1.3888888888888889E-4</v>
      </c>
    </row>
    <row r="134" spans="1:10" x14ac:dyDescent="0.25">
      <c r="A134" t="s">
        <v>133</v>
      </c>
      <c r="B134">
        <v>91</v>
      </c>
      <c r="C134" s="2">
        <v>3.39E-2</v>
      </c>
      <c r="D134" s="2">
        <v>0</v>
      </c>
      <c r="E134" s="2">
        <v>0</v>
      </c>
      <c r="F134" s="2">
        <v>0.1525</v>
      </c>
      <c r="G134" s="2">
        <v>0.1111</v>
      </c>
      <c r="H134" s="1">
        <v>3.1828703703703702E-3</v>
      </c>
      <c r="I134" s="1">
        <v>3.7037037037037035E-4</v>
      </c>
      <c r="J134" s="1">
        <v>4.6296296296296294E-5</v>
      </c>
    </row>
    <row r="135" spans="1:10" x14ac:dyDescent="0.25">
      <c r="A135" t="s">
        <v>134</v>
      </c>
      <c r="B135">
        <v>92</v>
      </c>
      <c r="C135" s="2">
        <v>3.39E-2</v>
      </c>
      <c r="D135" s="2">
        <v>0</v>
      </c>
      <c r="E135" s="2">
        <v>0</v>
      </c>
      <c r="F135" s="2">
        <v>0.1525</v>
      </c>
      <c r="G135" s="2">
        <v>0.1111</v>
      </c>
      <c r="H135" s="1">
        <v>3.1828703703703702E-3</v>
      </c>
      <c r="I135" s="1">
        <v>3.7037037037037035E-4</v>
      </c>
      <c r="J135" s="1">
        <v>4.6296296296296294E-5</v>
      </c>
    </row>
    <row r="136" spans="1:10" x14ac:dyDescent="0.25">
      <c r="A136" t="s">
        <v>135</v>
      </c>
      <c r="B136">
        <v>93</v>
      </c>
      <c r="C136" s="2">
        <v>6.3799999999999996E-2</v>
      </c>
      <c r="D136" s="2">
        <v>0</v>
      </c>
      <c r="E136" s="2">
        <v>0</v>
      </c>
      <c r="F136" s="2">
        <v>0.1915</v>
      </c>
      <c r="G136" s="2">
        <v>0</v>
      </c>
      <c r="H136" s="1">
        <v>3.472222222222222E-3</v>
      </c>
      <c r="I136" s="1">
        <v>1.5856481481481479E-3</v>
      </c>
      <c r="J136" s="1">
        <v>3.0092592592592595E-4</v>
      </c>
    </row>
    <row r="137" spans="1:10" x14ac:dyDescent="0.25">
      <c r="A137" t="s">
        <v>136</v>
      </c>
      <c r="B137">
        <v>94</v>
      </c>
      <c r="C137" s="2">
        <v>6.3799999999999996E-2</v>
      </c>
      <c r="D137" s="2">
        <v>0</v>
      </c>
      <c r="E137" s="2">
        <v>0</v>
      </c>
      <c r="F137" s="2">
        <v>0.1915</v>
      </c>
      <c r="G137" s="2">
        <v>0</v>
      </c>
      <c r="H137" s="1">
        <v>3.472222222222222E-3</v>
      </c>
      <c r="I137" s="1">
        <v>1.5856481481481479E-3</v>
      </c>
      <c r="J137" s="1">
        <v>3.0092592592592595E-4</v>
      </c>
    </row>
    <row r="138" spans="1:10" x14ac:dyDescent="0.25">
      <c r="A138" t="s">
        <v>137</v>
      </c>
      <c r="B138">
        <v>95</v>
      </c>
      <c r="C138" s="2">
        <v>0.11840000000000001</v>
      </c>
      <c r="D138" s="2">
        <v>0</v>
      </c>
      <c r="E138" s="2">
        <v>0</v>
      </c>
      <c r="F138" s="2">
        <v>0.23680000000000001</v>
      </c>
      <c r="G138" s="2">
        <v>5.5599999999999997E-2</v>
      </c>
      <c r="H138" s="1">
        <v>2.4537037037037036E-3</v>
      </c>
      <c r="I138" s="1">
        <v>2.6620370370370372E-4</v>
      </c>
      <c r="J138" s="1">
        <v>6.9444444444444444E-5</v>
      </c>
    </row>
    <row r="139" spans="1:10" x14ac:dyDescent="0.25">
      <c r="A139" t="s">
        <v>138</v>
      </c>
      <c r="B139">
        <v>96</v>
      </c>
      <c r="C139" s="2">
        <v>0.11840000000000001</v>
      </c>
      <c r="D139" s="2">
        <v>0</v>
      </c>
      <c r="E139" s="2">
        <v>0</v>
      </c>
      <c r="F139" s="2">
        <v>0.23680000000000001</v>
      </c>
      <c r="G139" s="2">
        <v>5.5599999999999997E-2</v>
      </c>
      <c r="H139" s="1">
        <v>2.4537037037037036E-3</v>
      </c>
      <c r="I139" s="1">
        <v>2.6620370370370372E-4</v>
      </c>
      <c r="J139" s="1">
        <v>6.9444444444444444E-5</v>
      </c>
    </row>
    <row r="140" spans="1:10" x14ac:dyDescent="0.25">
      <c r="A140" t="s">
        <v>139</v>
      </c>
      <c r="B140">
        <v>97</v>
      </c>
      <c r="C140" s="2">
        <v>7.1400000000000005E-2</v>
      </c>
      <c r="D140" s="2">
        <v>0</v>
      </c>
      <c r="E140" s="2">
        <v>0</v>
      </c>
      <c r="F140" s="2">
        <v>0.12859999999999999</v>
      </c>
      <c r="G140" s="2">
        <v>0.22220000000000001</v>
      </c>
      <c r="H140" s="1">
        <v>2.8240740740740739E-3</v>
      </c>
      <c r="I140" s="1">
        <v>4.0509259259259258E-4</v>
      </c>
      <c r="J140" s="1">
        <v>6.9444444444444444E-5</v>
      </c>
    </row>
    <row r="141" spans="1:10" x14ac:dyDescent="0.25">
      <c r="A141" t="s">
        <v>140</v>
      </c>
      <c r="B141">
        <v>98</v>
      </c>
      <c r="C141" s="2">
        <v>7.1400000000000005E-2</v>
      </c>
      <c r="D141" s="2">
        <v>0</v>
      </c>
      <c r="E141" s="2">
        <v>0</v>
      </c>
      <c r="F141" s="2">
        <v>0.12859999999999999</v>
      </c>
      <c r="G141" s="2">
        <v>0.22220000000000001</v>
      </c>
      <c r="H141" s="1">
        <v>2.8240740740740739E-3</v>
      </c>
      <c r="I141" s="1">
        <v>4.0509259259259258E-4</v>
      </c>
      <c r="J141" s="1">
        <v>6.9444444444444444E-5</v>
      </c>
    </row>
    <row r="142" spans="1:10" x14ac:dyDescent="0.25">
      <c r="A142" t="s">
        <v>141</v>
      </c>
      <c r="B142">
        <v>99</v>
      </c>
      <c r="C142" s="2">
        <v>0</v>
      </c>
      <c r="D142" s="2">
        <v>0</v>
      </c>
      <c r="E142" s="2">
        <v>0</v>
      </c>
      <c r="F142" s="2">
        <v>0.04</v>
      </c>
      <c r="G142" s="2">
        <v>0</v>
      </c>
      <c r="H142" s="1">
        <v>2.4074074074074076E-3</v>
      </c>
      <c r="I142" s="1">
        <v>7.8703703703703705E-4</v>
      </c>
      <c r="J142" s="1">
        <v>6.9444444444444444E-5</v>
      </c>
    </row>
    <row r="143" spans="1:10" x14ac:dyDescent="0.25">
      <c r="A143" t="s">
        <v>142</v>
      </c>
      <c r="B143">
        <v>100</v>
      </c>
      <c r="C143" s="2">
        <v>0</v>
      </c>
      <c r="D143" s="2">
        <v>0</v>
      </c>
      <c r="E143" s="2">
        <v>0</v>
      </c>
      <c r="F143" s="2">
        <v>0.04</v>
      </c>
      <c r="G143" s="2">
        <v>0</v>
      </c>
      <c r="H143" s="1">
        <v>2.4074074074074076E-3</v>
      </c>
      <c r="I143" s="1">
        <v>7.8703703703703705E-4</v>
      </c>
      <c r="J143" s="1">
        <v>6.9444444444444444E-5</v>
      </c>
    </row>
    <row r="144" spans="1:10" x14ac:dyDescent="0.25">
      <c r="A144" t="s">
        <v>143</v>
      </c>
      <c r="B144">
        <v>101</v>
      </c>
      <c r="C144" s="2">
        <v>3.1699999999999999E-2</v>
      </c>
      <c r="D144" s="2">
        <v>0</v>
      </c>
      <c r="E144" s="2">
        <v>0</v>
      </c>
      <c r="F144" s="2">
        <v>0.127</v>
      </c>
      <c r="G144" s="2">
        <v>0</v>
      </c>
      <c r="H144" s="1">
        <v>2.5694444444444445E-3</v>
      </c>
      <c r="I144" s="1">
        <v>5.6712962962962956E-4</v>
      </c>
      <c r="J144" s="1">
        <v>2.8935185185185189E-4</v>
      </c>
    </row>
    <row r="145" spans="1:10" x14ac:dyDescent="0.25">
      <c r="A145" t="s">
        <v>144</v>
      </c>
      <c r="B145">
        <v>102</v>
      </c>
      <c r="C145" s="2">
        <v>3.1699999999999999E-2</v>
      </c>
      <c r="D145" s="2">
        <v>0</v>
      </c>
      <c r="E145" s="2">
        <v>0</v>
      </c>
      <c r="F145" s="2">
        <v>0.127</v>
      </c>
      <c r="G145" s="2">
        <v>0</v>
      </c>
      <c r="H145" s="1">
        <v>2.5694444444444445E-3</v>
      </c>
      <c r="I145" s="1">
        <v>5.6712962962962956E-4</v>
      </c>
      <c r="J145" s="1">
        <v>2.8935185185185189E-4</v>
      </c>
    </row>
    <row r="146" spans="1:10" x14ac:dyDescent="0.25">
      <c r="A146" t="s">
        <v>145</v>
      </c>
      <c r="B146">
        <v>103</v>
      </c>
      <c r="C146" s="2">
        <v>0</v>
      </c>
      <c r="D146" s="2">
        <v>0</v>
      </c>
      <c r="E146" s="2">
        <v>0</v>
      </c>
      <c r="F146" s="2">
        <v>4.8399999999999999E-2</v>
      </c>
      <c r="G146" s="2">
        <v>0</v>
      </c>
      <c r="H146" s="1">
        <v>2.6388888888888885E-3</v>
      </c>
      <c r="I146" s="1">
        <v>0</v>
      </c>
      <c r="J146" s="1">
        <v>6.9444444444444444E-5</v>
      </c>
    </row>
    <row r="147" spans="1:10" x14ac:dyDescent="0.25">
      <c r="A147" t="s">
        <v>146</v>
      </c>
      <c r="B147">
        <v>104</v>
      </c>
      <c r="C147" s="2">
        <v>0</v>
      </c>
      <c r="D147" s="2">
        <v>0</v>
      </c>
      <c r="E147" s="2">
        <v>0</v>
      </c>
      <c r="F147" s="2">
        <v>4.8399999999999999E-2</v>
      </c>
      <c r="G147" s="2">
        <v>0</v>
      </c>
      <c r="H147" s="1">
        <v>2.6388888888888885E-3</v>
      </c>
      <c r="I147" s="1">
        <v>0</v>
      </c>
      <c r="J147" s="1">
        <v>6.9444444444444444E-5</v>
      </c>
    </row>
    <row r="148" spans="1:10" x14ac:dyDescent="0.25">
      <c r="A148" t="s">
        <v>147</v>
      </c>
      <c r="B148">
        <v>105</v>
      </c>
      <c r="C148" s="2">
        <v>3.2800000000000003E-2</v>
      </c>
      <c r="D148" s="2">
        <v>0</v>
      </c>
      <c r="E148" s="2">
        <v>0</v>
      </c>
      <c r="F148" s="2">
        <v>6.5600000000000006E-2</v>
      </c>
      <c r="G148" s="2">
        <v>0.25</v>
      </c>
      <c r="H148" s="1">
        <v>2.6504629629629625E-3</v>
      </c>
      <c r="I148" s="1">
        <v>0</v>
      </c>
      <c r="J148" s="1">
        <v>1.0416666666666667E-4</v>
      </c>
    </row>
    <row r="149" spans="1:10" x14ac:dyDescent="0.25">
      <c r="A149" t="s">
        <v>148</v>
      </c>
      <c r="B149">
        <v>106</v>
      </c>
      <c r="C149" s="2">
        <v>3.2800000000000003E-2</v>
      </c>
      <c r="D149" s="2">
        <v>0</v>
      </c>
      <c r="E149" s="2">
        <v>0</v>
      </c>
      <c r="F149" s="2">
        <v>6.5600000000000006E-2</v>
      </c>
      <c r="G149" s="2">
        <v>0.25</v>
      </c>
      <c r="H149" s="1">
        <v>2.6504629629629625E-3</v>
      </c>
      <c r="I149" s="1">
        <v>0</v>
      </c>
      <c r="J149" s="1">
        <v>1.0416666666666667E-4</v>
      </c>
    </row>
    <row r="150" spans="1:10" x14ac:dyDescent="0.25">
      <c r="A150" t="s">
        <v>149</v>
      </c>
      <c r="B150">
        <v>107</v>
      </c>
      <c r="C150" s="2">
        <v>3.2800000000000003E-2</v>
      </c>
      <c r="D150" s="2">
        <v>0</v>
      </c>
      <c r="E150" s="2">
        <v>0</v>
      </c>
      <c r="F150" s="2">
        <v>9.8400000000000001E-2</v>
      </c>
      <c r="G150" s="2">
        <v>0</v>
      </c>
      <c r="H150" s="1">
        <v>2.8240740740740739E-3</v>
      </c>
      <c r="I150" s="1">
        <v>1.1574074074074073E-4</v>
      </c>
      <c r="J150" s="1">
        <v>8.1018518518518516E-5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50"/>
  <sheetViews>
    <sheetView workbookViewId="0">
      <selection sqref="A1:G150"/>
    </sheetView>
  </sheetViews>
  <sheetFormatPr defaultRowHeight="15" x14ac:dyDescent="0.25"/>
  <cols>
    <col min="1" max="1" width="34.85546875" bestFit="1" customWidth="1"/>
    <col min="2" max="2" width="18" customWidth="1"/>
    <col min="3" max="3" width="32.5703125" bestFit="1" customWidth="1"/>
    <col min="4" max="4" width="16.42578125" bestFit="1" customWidth="1"/>
    <col min="5" max="5" width="18.85546875" bestFit="1" customWidth="1"/>
    <col min="6" max="6" width="15.28515625" bestFit="1" customWidth="1"/>
    <col min="7" max="7" width="18.140625" bestFit="1" customWidth="1"/>
  </cols>
  <sheetData>
    <row r="1" spans="1:7" ht="15.75" x14ac:dyDescent="0.25">
      <c r="A1" s="4" t="s">
        <v>158</v>
      </c>
      <c r="B1" s="4" t="s">
        <v>182</v>
      </c>
      <c r="C1" s="4" t="s">
        <v>183</v>
      </c>
      <c r="D1" s="4" t="s">
        <v>184</v>
      </c>
      <c r="E1" s="4" t="s">
        <v>157</v>
      </c>
      <c r="F1" s="4" t="s">
        <v>0</v>
      </c>
      <c r="G1" s="4" t="s">
        <v>162</v>
      </c>
    </row>
    <row r="2" spans="1:7" x14ac:dyDescent="0.25">
      <c r="A2" t="str">
        <f>Break!A2</f>
        <v>Mum_Abdul Hamid (1008512)</v>
      </c>
      <c r="B2" t="str">
        <f>MID(A2,FIND("_",A2,1)+1,FIND("(",A2,1)-FIND("_",A2,1)-2)</f>
        <v>Abdul Hamid</v>
      </c>
      <c r="C2" s="5">
        <f t="shared" ref="C2:C33" si="0">(VLOOKUP(A2,EData,2,0))</f>
        <v>0.34424768518518517</v>
      </c>
      <c r="D2" s="5">
        <f t="shared" ref="D2:D33" si="1">VLOOKUP(A2,EData,3,0)</f>
        <v>0.20693287037037036</v>
      </c>
      <c r="E2" s="5">
        <f t="shared" ref="E2:E33" si="2">VLOOKUP(A2,BData,9,0)</f>
        <v>4.7708333333333332E-2</v>
      </c>
      <c r="F2">
        <f t="shared" ref="F2:F33" si="3">VLOOKUP(A2,PData,2,0)</f>
        <v>98</v>
      </c>
      <c r="G2" s="6">
        <f t="shared" ref="G2:G33" si="4">VLOOKUP(A2,EData,6,0)</f>
        <v>0.55700000000000005</v>
      </c>
    </row>
    <row r="3" spans="1:7" x14ac:dyDescent="0.25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5">
        <f t="shared" si="0"/>
        <v>0.34416666666666668</v>
      </c>
      <c r="D3" s="5">
        <f t="shared" si="1"/>
        <v>0.20733796296296295</v>
      </c>
      <c r="E3" s="5">
        <f t="shared" si="2"/>
        <v>4.8599537037037038E-2</v>
      </c>
      <c r="F3">
        <f t="shared" si="3"/>
        <v>23</v>
      </c>
      <c r="G3" s="6">
        <f t="shared" si="4"/>
        <v>0.58030000000000004</v>
      </c>
    </row>
    <row r="4" spans="1:7" x14ac:dyDescent="0.25">
      <c r="A4" t="str">
        <f>Break!A4</f>
        <v>Mum_Anamika Gupta (1008514)</v>
      </c>
      <c r="B4" t="str">
        <f t="shared" si="5"/>
        <v>Anamika Gupta</v>
      </c>
      <c r="C4" s="5">
        <f t="shared" si="0"/>
        <v>0.34510416666666671</v>
      </c>
      <c r="D4" s="5">
        <f t="shared" si="1"/>
        <v>0.20109953703703706</v>
      </c>
      <c r="E4" s="5">
        <f t="shared" si="2"/>
        <v>5.1319444444444445E-2</v>
      </c>
      <c r="F4">
        <f t="shared" si="3"/>
        <v>28</v>
      </c>
      <c r="G4" s="6">
        <f t="shared" si="4"/>
        <v>0.5171</v>
      </c>
    </row>
    <row r="5" spans="1:7" x14ac:dyDescent="0.25">
      <c r="A5" t="str">
        <f>Break!A5</f>
        <v>Mum_Anikuttan (1008515)</v>
      </c>
      <c r="B5" t="str">
        <f t="shared" si="5"/>
        <v>Anikuttan</v>
      </c>
      <c r="C5" s="5">
        <f t="shared" si="0"/>
        <v>0.34023148148148147</v>
      </c>
      <c r="D5" s="5">
        <f t="shared" si="1"/>
        <v>0.17884259259259261</v>
      </c>
      <c r="E5" s="5">
        <f t="shared" si="2"/>
        <v>9.6550925925925915E-2</v>
      </c>
      <c r="F5">
        <f t="shared" si="3"/>
        <v>29</v>
      </c>
      <c r="G5" s="6">
        <f t="shared" si="4"/>
        <v>0.47720000000000001</v>
      </c>
    </row>
    <row r="6" spans="1:7" x14ac:dyDescent="0.25">
      <c r="A6" t="str">
        <f>Break!A6</f>
        <v>Mum_Anil Kumar (1008516)</v>
      </c>
      <c r="B6" t="str">
        <f t="shared" si="5"/>
        <v>Anil Kumar</v>
      </c>
      <c r="C6" s="5">
        <f t="shared" si="0"/>
        <v>0.30603009259259256</v>
      </c>
      <c r="D6" s="5">
        <f t="shared" si="1"/>
        <v>0.13870370370370369</v>
      </c>
      <c r="E6" s="5">
        <f t="shared" si="2"/>
        <v>0.12844907407407408</v>
      </c>
      <c r="F6">
        <f t="shared" si="3"/>
        <v>93</v>
      </c>
      <c r="G6" s="6">
        <f t="shared" si="4"/>
        <v>0.43290000000000001</v>
      </c>
    </row>
    <row r="7" spans="1:7" x14ac:dyDescent="0.25">
      <c r="A7" t="str">
        <f>Break!A7</f>
        <v>Mum_Anita Dixit (1008517)</v>
      </c>
      <c r="B7" t="str">
        <f t="shared" si="5"/>
        <v>Anita Dixit</v>
      </c>
      <c r="C7" s="5">
        <f t="shared" si="0"/>
        <v>0.20843750000000003</v>
      </c>
      <c r="D7" s="5">
        <f t="shared" si="1"/>
        <v>0.15369212962962964</v>
      </c>
      <c r="E7" s="5">
        <f t="shared" si="2"/>
        <v>1.8831018518518518E-2</v>
      </c>
      <c r="F7">
        <f t="shared" si="3"/>
        <v>92</v>
      </c>
      <c r="G7" s="6">
        <f t="shared" si="4"/>
        <v>0.65500000000000003</v>
      </c>
    </row>
    <row r="8" spans="1:7" x14ac:dyDescent="0.25">
      <c r="A8" t="str">
        <f>Break!A8</f>
        <v>Mum_Anita Ghore (1008518)</v>
      </c>
      <c r="B8" t="str">
        <f t="shared" si="5"/>
        <v>Anita Ghore</v>
      </c>
      <c r="C8" s="5">
        <f t="shared" si="0"/>
        <v>0.34488425925925931</v>
      </c>
      <c r="D8" s="5">
        <f t="shared" si="1"/>
        <v>0.17553240740740741</v>
      </c>
      <c r="E8" s="5">
        <f t="shared" si="2"/>
        <v>0.11229166666666668</v>
      </c>
      <c r="F8">
        <f t="shared" si="3"/>
        <v>26</v>
      </c>
      <c r="G8" s="6">
        <f t="shared" si="4"/>
        <v>0.49480000000000002</v>
      </c>
    </row>
    <row r="9" spans="1:7" x14ac:dyDescent="0.25">
      <c r="A9" t="str">
        <f>Break!A9</f>
        <v>Mum_Anjali Deoram (1008519)</v>
      </c>
      <c r="B9" t="str">
        <f t="shared" si="5"/>
        <v>Anjali Deoram</v>
      </c>
      <c r="C9" s="5">
        <f t="shared" si="0"/>
        <v>0.38646990740740739</v>
      </c>
      <c r="D9" s="5">
        <f t="shared" si="1"/>
        <v>0.24453703703703702</v>
      </c>
      <c r="E9" s="5">
        <f t="shared" si="2"/>
        <v>5.0810185185185187E-2</v>
      </c>
      <c r="F9">
        <f t="shared" si="3"/>
        <v>90</v>
      </c>
      <c r="G9" s="6">
        <f t="shared" si="4"/>
        <v>0.55130000000000001</v>
      </c>
    </row>
    <row r="10" spans="1:7" x14ac:dyDescent="0.25">
      <c r="A10" t="str">
        <f>Break!A10</f>
        <v>Mum_Anjali Sahay (1008520)</v>
      </c>
      <c r="B10" t="str">
        <f t="shared" si="5"/>
        <v>Anjali Sahay</v>
      </c>
      <c r="C10" s="5">
        <f t="shared" si="0"/>
        <v>0.34256944444444448</v>
      </c>
      <c r="D10" s="5">
        <f t="shared" si="1"/>
        <v>0.20311342592592593</v>
      </c>
      <c r="E10" s="5">
        <f t="shared" si="2"/>
        <v>4.628472222222222E-2</v>
      </c>
      <c r="F10">
        <f t="shared" si="3"/>
        <v>89</v>
      </c>
      <c r="G10" s="6">
        <f t="shared" si="4"/>
        <v>0.55210000000000004</v>
      </c>
    </row>
    <row r="11" spans="1:7" x14ac:dyDescent="0.25">
      <c r="A11" t="str">
        <f>Break!A11</f>
        <v>Mum_Annu Latika (1008521)</v>
      </c>
      <c r="B11" t="str">
        <f t="shared" si="5"/>
        <v>Annu Latika</v>
      </c>
      <c r="C11" s="5">
        <f t="shared" si="0"/>
        <v>0.34769675925925925</v>
      </c>
      <c r="D11" s="5">
        <f t="shared" si="1"/>
        <v>0.20702546296296295</v>
      </c>
      <c r="E11" s="5">
        <f t="shared" si="2"/>
        <v>4.8576388888888884E-2</v>
      </c>
      <c r="F11">
        <f t="shared" si="3"/>
        <v>54</v>
      </c>
      <c r="G11" s="6">
        <f t="shared" si="4"/>
        <v>0.56869999999999998</v>
      </c>
    </row>
    <row r="12" spans="1:7" x14ac:dyDescent="0.25">
      <c r="A12" t="str">
        <f>Break!A12</f>
        <v>Mum_Anoop Narayan (1008522)</v>
      </c>
      <c r="B12" t="str">
        <f t="shared" si="5"/>
        <v>Anoop Narayan</v>
      </c>
      <c r="C12" s="5">
        <f t="shared" si="0"/>
        <v>0.34068287037037037</v>
      </c>
      <c r="D12" s="5">
        <f t="shared" si="1"/>
        <v>0.20518518518518516</v>
      </c>
      <c r="E12" s="5">
        <f t="shared" si="2"/>
        <v>4.809027777777778E-2</v>
      </c>
      <c r="F12">
        <f t="shared" si="3"/>
        <v>87</v>
      </c>
      <c r="G12" s="6">
        <f t="shared" si="4"/>
        <v>0.56040000000000001</v>
      </c>
    </row>
    <row r="13" spans="1:7" x14ac:dyDescent="0.25">
      <c r="A13" t="str">
        <f>Break!A13</f>
        <v>Mum_Anoop Raj (1008523)</v>
      </c>
      <c r="B13" t="str">
        <f t="shared" si="5"/>
        <v>Anoop Raj</v>
      </c>
      <c r="C13" s="5">
        <f t="shared" si="0"/>
        <v>0.33622685185185186</v>
      </c>
      <c r="D13" s="5">
        <f t="shared" si="1"/>
        <v>0.15812499999999999</v>
      </c>
      <c r="E13" s="5">
        <f t="shared" si="2"/>
        <v>0.12590277777777778</v>
      </c>
      <c r="F13">
        <f t="shared" si="3"/>
        <v>65</v>
      </c>
      <c r="G13" s="6">
        <f t="shared" si="4"/>
        <v>0.41549999999999998</v>
      </c>
    </row>
    <row r="14" spans="1:7" x14ac:dyDescent="0.25">
      <c r="A14" t="str">
        <f>Break!A14</f>
        <v>Mum_Anubhuti Gupta (1008524)</v>
      </c>
      <c r="B14" t="str">
        <f t="shared" si="5"/>
        <v>Anubhuti Gupta</v>
      </c>
      <c r="C14" s="5">
        <f t="shared" si="0"/>
        <v>0.34349537037037042</v>
      </c>
      <c r="D14" s="5">
        <f t="shared" si="1"/>
        <v>0.19699074074074074</v>
      </c>
      <c r="E14" s="5">
        <f t="shared" si="2"/>
        <v>8.7974537037037046E-2</v>
      </c>
      <c r="F14">
        <f t="shared" si="3"/>
        <v>85</v>
      </c>
      <c r="G14" s="6">
        <f t="shared" si="4"/>
        <v>0.50029999999999997</v>
      </c>
    </row>
    <row r="15" spans="1:7" x14ac:dyDescent="0.25">
      <c r="A15" t="str">
        <f>Break!A15</f>
        <v>Mum_Arun Kumar (1008525)</v>
      </c>
      <c r="B15" t="str">
        <f t="shared" si="5"/>
        <v>Arun Kumar</v>
      </c>
      <c r="C15" s="5">
        <f t="shared" si="0"/>
        <v>0.33321759259259259</v>
      </c>
      <c r="D15" s="5">
        <f t="shared" si="1"/>
        <v>0.19475694444444444</v>
      </c>
      <c r="E15" s="5">
        <f t="shared" si="2"/>
        <v>4.9004629629629627E-2</v>
      </c>
      <c r="F15">
        <f t="shared" si="3"/>
        <v>65</v>
      </c>
      <c r="G15" s="6">
        <f t="shared" si="4"/>
        <v>0.51400000000000001</v>
      </c>
    </row>
    <row r="16" spans="1:7" x14ac:dyDescent="0.25">
      <c r="A16" t="str">
        <f>Break!A16</f>
        <v>Mum_Ashish Kumar (1008526)</v>
      </c>
      <c r="B16" t="str">
        <f t="shared" si="5"/>
        <v>Ashish Kumar</v>
      </c>
      <c r="C16" s="5">
        <f t="shared" si="0"/>
        <v>0.34512731481481485</v>
      </c>
      <c r="D16" s="5">
        <f t="shared" si="1"/>
        <v>0.2066550925925926</v>
      </c>
      <c r="E16" s="5">
        <f t="shared" si="2"/>
        <v>5.3460648148148153E-2</v>
      </c>
      <c r="F16">
        <f t="shared" si="3"/>
        <v>83</v>
      </c>
      <c r="G16" s="6">
        <f t="shared" si="4"/>
        <v>0.51060000000000005</v>
      </c>
    </row>
    <row r="17" spans="1:7" x14ac:dyDescent="0.25">
      <c r="A17" t="str">
        <f>Break!A17</f>
        <v>Mum_Ashok Kumar (1008527)</v>
      </c>
      <c r="B17" t="str">
        <f t="shared" si="5"/>
        <v>Ashok Kumar</v>
      </c>
      <c r="C17" s="5">
        <f t="shared" si="0"/>
        <v>0.34531249999999997</v>
      </c>
      <c r="D17" s="5">
        <f t="shared" si="1"/>
        <v>0.17390046296296294</v>
      </c>
      <c r="E17" s="5">
        <f t="shared" si="2"/>
        <v>0.10023148148148148</v>
      </c>
      <c r="F17">
        <f t="shared" si="3"/>
        <v>82</v>
      </c>
      <c r="G17" s="6">
        <f t="shared" si="4"/>
        <v>0.4829</v>
      </c>
    </row>
    <row r="18" spans="1:7" x14ac:dyDescent="0.25">
      <c r="A18" t="str">
        <f>Break!A18</f>
        <v>Hyd_Ashok Kumar (1008528)</v>
      </c>
      <c r="B18" t="str">
        <f t="shared" si="5"/>
        <v>Ashok Kumar</v>
      </c>
      <c r="C18" s="5">
        <f t="shared" si="0"/>
        <v>0.32848379629629632</v>
      </c>
      <c r="D18" s="5">
        <f t="shared" si="1"/>
        <v>0.1973611111111111</v>
      </c>
      <c r="E18" s="5">
        <f t="shared" si="2"/>
        <v>3.9224537037037037E-2</v>
      </c>
      <c r="F18">
        <f t="shared" si="3"/>
        <v>81</v>
      </c>
      <c r="G18" s="6">
        <f t="shared" si="4"/>
        <v>0.5736</v>
      </c>
    </row>
    <row r="19" spans="1:7" x14ac:dyDescent="0.25">
      <c r="A19" t="str">
        <f>Break!A19</f>
        <v>Hyd_Ashok Kumar (1008529)</v>
      </c>
      <c r="B19" t="str">
        <f t="shared" si="5"/>
        <v>Ashok Kumar</v>
      </c>
      <c r="C19" s="5">
        <f t="shared" si="0"/>
        <v>0.34494212962962961</v>
      </c>
      <c r="D19" s="5">
        <f t="shared" si="1"/>
        <v>0.20702546296296295</v>
      </c>
      <c r="E19" s="5">
        <f t="shared" si="2"/>
        <v>4.8692129629629627E-2</v>
      </c>
      <c r="F19">
        <f t="shared" si="3"/>
        <v>80</v>
      </c>
      <c r="G19" s="6">
        <f t="shared" si="4"/>
        <v>0.56430000000000002</v>
      </c>
    </row>
    <row r="20" spans="1:7" x14ac:dyDescent="0.25">
      <c r="A20" t="str">
        <f>Break!A20</f>
        <v>Hyd_Ashok Kumar (1008530)</v>
      </c>
      <c r="B20" t="str">
        <f t="shared" si="5"/>
        <v>Ashok Kumar</v>
      </c>
      <c r="C20" s="5">
        <f t="shared" si="0"/>
        <v>0.34810185185185188</v>
      </c>
      <c r="D20" s="5">
        <f t="shared" si="1"/>
        <v>0.18267361111111111</v>
      </c>
      <c r="E20" s="5">
        <f t="shared" si="2"/>
        <v>0.11122685185185184</v>
      </c>
      <c r="F20">
        <f t="shared" si="3"/>
        <v>79</v>
      </c>
      <c r="G20" s="6">
        <f t="shared" si="4"/>
        <v>0.46970000000000001</v>
      </c>
    </row>
    <row r="21" spans="1:7" x14ac:dyDescent="0.25">
      <c r="A21" t="str">
        <f>Break!A21</f>
        <v>Hyd_Ashok Mahto (1008531)</v>
      </c>
      <c r="B21" t="str">
        <f t="shared" si="5"/>
        <v>Ashok Mahto</v>
      </c>
      <c r="C21" s="5">
        <f t="shared" si="0"/>
        <v>0.34574074074074074</v>
      </c>
      <c r="D21" s="5">
        <f t="shared" si="1"/>
        <v>0.20710648148148147</v>
      </c>
      <c r="E21" s="5">
        <f t="shared" si="2"/>
        <v>5.1736111111111115E-2</v>
      </c>
      <c r="F21">
        <f t="shared" si="3"/>
        <v>78</v>
      </c>
      <c r="G21" s="6">
        <f t="shared" si="4"/>
        <v>0.57499999999999996</v>
      </c>
    </row>
    <row r="22" spans="1:7" x14ac:dyDescent="0.25">
      <c r="A22" t="str">
        <f>Break!A22</f>
        <v>Hyd_Atul Kumar (1008532)</v>
      </c>
      <c r="B22" t="str">
        <f t="shared" si="5"/>
        <v>Atul Kumar</v>
      </c>
      <c r="C22" s="5">
        <f t="shared" si="0"/>
        <v>0.3428356481481481</v>
      </c>
      <c r="D22" s="5">
        <f t="shared" si="1"/>
        <v>0.20393518518518516</v>
      </c>
      <c r="E22" s="5">
        <f t="shared" si="2"/>
        <v>4.6516203703703705E-2</v>
      </c>
      <c r="F22">
        <f t="shared" si="3"/>
        <v>77</v>
      </c>
      <c r="G22" s="6">
        <f t="shared" si="4"/>
        <v>0.57950000000000002</v>
      </c>
    </row>
    <row r="23" spans="1:7" x14ac:dyDescent="0.25">
      <c r="A23" t="str">
        <f>Break!A23</f>
        <v>Hyd_Azam (1008533)</v>
      </c>
      <c r="B23" t="str">
        <f t="shared" si="5"/>
        <v>Azam</v>
      </c>
      <c r="C23" s="5">
        <f t="shared" si="0"/>
        <v>0.34553240740740737</v>
      </c>
      <c r="D23" s="5">
        <f t="shared" si="1"/>
        <v>0.20821759259259257</v>
      </c>
      <c r="E23" s="5">
        <f t="shared" si="2"/>
        <v>4.8460648148148149E-2</v>
      </c>
      <c r="F23">
        <f t="shared" si="3"/>
        <v>76</v>
      </c>
      <c r="G23" s="6">
        <f t="shared" si="4"/>
        <v>0.58830000000000005</v>
      </c>
    </row>
    <row r="24" spans="1:7" x14ac:dyDescent="0.25">
      <c r="A24" t="str">
        <f>Break!A24</f>
        <v>Hyd_Bhagwat Singh (1008534)</v>
      </c>
      <c r="B24" t="str">
        <f t="shared" si="5"/>
        <v>Bhagwat Singh</v>
      </c>
      <c r="C24" s="5">
        <f t="shared" si="0"/>
        <v>0.32064814814814818</v>
      </c>
      <c r="D24" s="5">
        <f t="shared" si="1"/>
        <v>0.17288194444444446</v>
      </c>
      <c r="E24" s="5">
        <f t="shared" si="2"/>
        <v>9.0486111111111114E-2</v>
      </c>
      <c r="F24">
        <f t="shared" si="3"/>
        <v>75</v>
      </c>
      <c r="G24" s="6">
        <f t="shared" si="4"/>
        <v>0.4627</v>
      </c>
    </row>
    <row r="25" spans="1:7" x14ac:dyDescent="0.25">
      <c r="A25" t="str">
        <f>Break!A25</f>
        <v>Hyd_Bindu Nair (1008535)</v>
      </c>
      <c r="B25" t="str">
        <f t="shared" si="5"/>
        <v>Bindu Nair</v>
      </c>
      <c r="C25" s="5">
        <f t="shared" si="0"/>
        <v>0.34032407407407406</v>
      </c>
      <c r="D25" s="5">
        <f t="shared" si="1"/>
        <v>0.17644675925925926</v>
      </c>
      <c r="E25" s="5">
        <f t="shared" si="2"/>
        <v>9.116898148148149E-2</v>
      </c>
      <c r="F25">
        <f t="shared" si="3"/>
        <v>74</v>
      </c>
      <c r="G25" s="6">
        <f t="shared" si="4"/>
        <v>0.47799999999999998</v>
      </c>
    </row>
    <row r="26" spans="1:7" x14ac:dyDescent="0.25">
      <c r="A26" t="str">
        <f>Break!A26</f>
        <v>Hyd_Daleep Singh (1008536)</v>
      </c>
      <c r="B26" t="str">
        <f t="shared" si="5"/>
        <v>Daleep Singh</v>
      </c>
      <c r="C26" s="5">
        <f t="shared" si="0"/>
        <v>0.34328703703703706</v>
      </c>
      <c r="D26" s="5">
        <f t="shared" si="1"/>
        <v>0.22703703703703704</v>
      </c>
      <c r="E26" s="5">
        <f t="shared" si="2"/>
        <v>5.0625000000000003E-2</v>
      </c>
      <c r="F26">
        <f t="shared" si="3"/>
        <v>73</v>
      </c>
      <c r="G26" s="6">
        <f t="shared" si="4"/>
        <v>0.5998</v>
      </c>
    </row>
    <row r="27" spans="1:7" x14ac:dyDescent="0.25">
      <c r="A27" t="str">
        <f>Break!A27</f>
        <v>Hyd_Deepak Kumar (1008537)</v>
      </c>
      <c r="B27" t="str">
        <f t="shared" si="5"/>
        <v>Deepak Kumar</v>
      </c>
      <c r="C27" s="5">
        <f t="shared" si="0"/>
        <v>0.31663194444444448</v>
      </c>
      <c r="D27" s="5">
        <f t="shared" si="1"/>
        <v>0.21199074074074076</v>
      </c>
      <c r="E27" s="5">
        <f t="shared" si="2"/>
        <v>2.1180555555555553E-2</v>
      </c>
      <c r="F27">
        <f t="shared" si="3"/>
        <v>72</v>
      </c>
      <c r="G27" s="6">
        <f t="shared" si="4"/>
        <v>0.65029999999999999</v>
      </c>
    </row>
    <row r="28" spans="1:7" x14ac:dyDescent="0.25">
      <c r="A28" t="str">
        <f>Break!A28</f>
        <v>Hyd_Deepika Nigam (1008538)</v>
      </c>
      <c r="B28" t="str">
        <f t="shared" si="5"/>
        <v>Deepika Nigam</v>
      </c>
      <c r="C28" s="5">
        <f t="shared" si="0"/>
        <v>0.34512731481481485</v>
      </c>
      <c r="D28" s="5">
        <f t="shared" si="1"/>
        <v>0.20607638888888888</v>
      </c>
      <c r="E28" s="5">
        <f t="shared" si="2"/>
        <v>4.9768518518518517E-2</v>
      </c>
      <c r="F28">
        <f t="shared" si="3"/>
        <v>71</v>
      </c>
      <c r="G28" s="6">
        <f t="shared" si="4"/>
        <v>0.55000000000000004</v>
      </c>
    </row>
    <row r="29" spans="1:7" x14ac:dyDescent="0.25">
      <c r="A29" t="str">
        <f>Break!A29</f>
        <v>Hyd_Dinesh Kumar (1008539)</v>
      </c>
      <c r="B29" t="str">
        <f t="shared" si="5"/>
        <v>Dinesh Kumar</v>
      </c>
      <c r="C29" s="5">
        <f t="shared" si="0"/>
        <v>0.34297453703703701</v>
      </c>
      <c r="D29" s="5">
        <f t="shared" si="1"/>
        <v>0.21273148148148147</v>
      </c>
      <c r="E29" s="5">
        <f t="shared" si="2"/>
        <v>4.8645833333333333E-2</v>
      </c>
      <c r="F29">
        <f t="shared" si="3"/>
        <v>70</v>
      </c>
      <c r="G29" s="6">
        <f t="shared" si="4"/>
        <v>0.51329999999999998</v>
      </c>
    </row>
    <row r="30" spans="1:7" x14ac:dyDescent="0.25">
      <c r="A30" t="str">
        <f>Break!A30</f>
        <v>Hyd_Hari Kumar (1008540)</v>
      </c>
      <c r="B30" t="str">
        <f t="shared" si="5"/>
        <v>Hari Kumar</v>
      </c>
      <c r="C30" s="5">
        <f t="shared" si="0"/>
        <v>0.34387731481481482</v>
      </c>
      <c r="D30" s="5">
        <f t="shared" si="1"/>
        <v>0.17480324074074075</v>
      </c>
      <c r="E30" s="5">
        <f t="shared" si="2"/>
        <v>0.11449074074074074</v>
      </c>
      <c r="F30">
        <f t="shared" si="3"/>
        <v>69</v>
      </c>
      <c r="G30" s="6">
        <f t="shared" si="4"/>
        <v>0.436</v>
      </c>
    </row>
    <row r="31" spans="1:7" x14ac:dyDescent="0.25">
      <c r="A31" t="str">
        <f>Break!A31</f>
        <v>Hyd_Heeramani Choudhary (1008541)</v>
      </c>
      <c r="B31" t="str">
        <f t="shared" si="5"/>
        <v>Heeramani Choudhary</v>
      </c>
      <c r="C31" s="5">
        <f t="shared" si="0"/>
        <v>0.31069444444444444</v>
      </c>
      <c r="D31" s="5">
        <f t="shared" si="1"/>
        <v>0.1912962962962963</v>
      </c>
      <c r="E31" s="5">
        <f t="shared" si="2"/>
        <v>5.5787037037037031E-2</v>
      </c>
      <c r="F31">
        <f t="shared" si="3"/>
        <v>68</v>
      </c>
      <c r="G31" s="6">
        <f t="shared" si="4"/>
        <v>0.52949999999999997</v>
      </c>
    </row>
    <row r="32" spans="1:7" x14ac:dyDescent="0.25">
      <c r="A32" t="str">
        <f>Break!A32</f>
        <v>Hyd_Indra Pal (1008542)</v>
      </c>
      <c r="B32" t="str">
        <f t="shared" si="5"/>
        <v>Indra Pal</v>
      </c>
      <c r="C32" s="5">
        <f t="shared" si="0"/>
        <v>0.33329861111111109</v>
      </c>
      <c r="D32" s="5">
        <f t="shared" si="1"/>
        <v>0.21824074074074074</v>
      </c>
      <c r="E32" s="5">
        <f t="shared" si="2"/>
        <v>4.809027777777778E-2</v>
      </c>
      <c r="F32">
        <f t="shared" si="3"/>
        <v>67</v>
      </c>
      <c r="G32" s="6">
        <f t="shared" si="4"/>
        <v>0.5645</v>
      </c>
    </row>
    <row r="33" spans="1:7" x14ac:dyDescent="0.25">
      <c r="A33" t="str">
        <f>Break!A33</f>
        <v>Hyd_Indra Singh (1008543)</v>
      </c>
      <c r="B33" t="str">
        <f t="shared" si="5"/>
        <v>Indra Singh</v>
      </c>
      <c r="C33" s="5">
        <f t="shared" si="0"/>
        <v>0.34564814814814815</v>
      </c>
      <c r="D33" s="5">
        <f t="shared" si="1"/>
        <v>0.21184027777777778</v>
      </c>
      <c r="E33" s="5">
        <f t="shared" si="2"/>
        <v>8.9745370370370378E-2</v>
      </c>
      <c r="F33">
        <f t="shared" si="3"/>
        <v>66</v>
      </c>
      <c r="G33" s="6">
        <f t="shared" si="4"/>
        <v>0.49790000000000001</v>
      </c>
    </row>
    <row r="34" spans="1:7" x14ac:dyDescent="0.25">
      <c r="A34" t="str">
        <f>Break!A34</f>
        <v>Hyd_Jagdish Chandra (1008544)</v>
      </c>
      <c r="B34" t="str">
        <f t="shared" si="5"/>
        <v>Jagdish Chandra</v>
      </c>
      <c r="C34" s="5">
        <f t="shared" ref="C34:C65" si="6">(VLOOKUP(A34,EData,2,0))</f>
        <v>0.34664351851851855</v>
      </c>
      <c r="D34" s="5">
        <f t="shared" ref="D34:D65" si="7">VLOOKUP(A34,EData,3,0)</f>
        <v>0.20781249999999998</v>
      </c>
      <c r="E34" s="5">
        <f t="shared" ref="E34:E65" si="8">VLOOKUP(A34,BData,9,0)</f>
        <v>4.7951388888888891E-2</v>
      </c>
      <c r="F34">
        <f t="shared" ref="F34:F65" si="9">VLOOKUP(A34,PData,2,0)</f>
        <v>65</v>
      </c>
      <c r="G34" s="6">
        <f t="shared" ref="G34:G65" si="10">VLOOKUP(A34,EData,6,0)</f>
        <v>0.56269999999999998</v>
      </c>
    </row>
    <row r="35" spans="1:7" x14ac:dyDescent="0.25">
      <c r="A35" t="str">
        <f>Break!A35</f>
        <v>Hyd_Jairaj Vatham (1008545)</v>
      </c>
      <c r="B35" t="str">
        <f t="shared" si="5"/>
        <v>Jairaj Vatham</v>
      </c>
      <c r="C35" s="5">
        <f t="shared" si="6"/>
        <v>0.34471064814814811</v>
      </c>
      <c r="D35" s="5">
        <f t="shared" si="7"/>
        <v>0.20981481481481482</v>
      </c>
      <c r="E35" s="5">
        <f t="shared" si="8"/>
        <v>4.8564814814814818E-2</v>
      </c>
      <c r="F35">
        <f t="shared" si="9"/>
        <v>64</v>
      </c>
      <c r="G35" s="6">
        <f t="shared" si="10"/>
        <v>0.57679999999999998</v>
      </c>
    </row>
    <row r="36" spans="1:7" x14ac:dyDescent="0.25">
      <c r="A36" t="str">
        <f>Break!A36</f>
        <v>Hyd_Janardan Mishra (1008546)</v>
      </c>
      <c r="B36" t="str">
        <f t="shared" si="5"/>
        <v>Janardan Mishra</v>
      </c>
      <c r="C36" s="5">
        <f t="shared" si="6"/>
        <v>0.31923611111111111</v>
      </c>
      <c r="D36" s="5">
        <f t="shared" si="7"/>
        <v>0.18953703703703703</v>
      </c>
      <c r="E36" s="5">
        <f t="shared" si="8"/>
        <v>6.1215277777777778E-2</v>
      </c>
      <c r="F36">
        <f t="shared" si="9"/>
        <v>63</v>
      </c>
      <c r="G36" s="6">
        <f t="shared" si="10"/>
        <v>0.55730000000000002</v>
      </c>
    </row>
    <row r="37" spans="1:7" x14ac:dyDescent="0.25">
      <c r="A37" t="str">
        <f>Break!A37</f>
        <v>Hyd_Jitendra Kumar (1008547)</v>
      </c>
      <c r="B37" t="str">
        <f t="shared" si="5"/>
        <v>Jitendra Kumar</v>
      </c>
      <c r="C37" s="5">
        <f t="shared" si="6"/>
        <v>0.34128472222222223</v>
      </c>
      <c r="D37" s="5">
        <f t="shared" si="7"/>
        <v>0.17200231481481479</v>
      </c>
      <c r="E37" s="5">
        <f t="shared" si="8"/>
        <v>0.10777777777777779</v>
      </c>
      <c r="F37">
        <f t="shared" si="9"/>
        <v>62</v>
      </c>
      <c r="G37" s="6">
        <f t="shared" si="10"/>
        <v>0.47589999999999999</v>
      </c>
    </row>
    <row r="38" spans="1:7" x14ac:dyDescent="0.25">
      <c r="A38" t="str">
        <f>Break!A38</f>
        <v>Hyd_John D'Costa (1008548)</v>
      </c>
      <c r="B38" t="str">
        <f t="shared" si="5"/>
        <v>John D'Costa</v>
      </c>
      <c r="C38" s="5">
        <f t="shared" si="6"/>
        <v>0.34012731481481479</v>
      </c>
      <c r="D38" s="5">
        <f t="shared" si="7"/>
        <v>0.20243055555555556</v>
      </c>
      <c r="E38" s="5">
        <f t="shared" si="8"/>
        <v>4.8333333333333332E-2</v>
      </c>
      <c r="F38">
        <f t="shared" si="9"/>
        <v>61</v>
      </c>
      <c r="G38" s="6">
        <f t="shared" si="10"/>
        <v>0.55640000000000001</v>
      </c>
    </row>
    <row r="39" spans="1:7" x14ac:dyDescent="0.25">
      <c r="A39" t="str">
        <f>Break!A39</f>
        <v>Hyd_Julie S (1008549)</v>
      </c>
      <c r="B39" t="str">
        <f t="shared" si="5"/>
        <v>Julie S</v>
      </c>
      <c r="C39" s="5">
        <f t="shared" si="6"/>
        <v>0.3442824074074074</v>
      </c>
      <c r="D39" s="5">
        <f t="shared" si="7"/>
        <v>0.20569444444444443</v>
      </c>
      <c r="E39" s="5">
        <f t="shared" si="8"/>
        <v>4.912037037037037E-2</v>
      </c>
      <c r="F39">
        <f t="shared" si="9"/>
        <v>60</v>
      </c>
      <c r="G39" s="6">
        <f t="shared" si="10"/>
        <v>0.52800000000000002</v>
      </c>
    </row>
    <row r="40" spans="1:7" x14ac:dyDescent="0.25">
      <c r="A40" t="str">
        <f>Break!A40</f>
        <v>Hyd_Jyoti Tulsani (1008550)</v>
      </c>
      <c r="B40" t="str">
        <f t="shared" si="5"/>
        <v>Jyoti Tulsani</v>
      </c>
      <c r="C40" s="5">
        <f t="shared" si="6"/>
        <v>0.3439699074074074</v>
      </c>
      <c r="D40" s="5">
        <f t="shared" si="7"/>
        <v>0.20620370370370369</v>
      </c>
      <c r="E40" s="5">
        <f t="shared" si="8"/>
        <v>4.8923611111111105E-2</v>
      </c>
      <c r="F40">
        <f t="shared" si="9"/>
        <v>59</v>
      </c>
      <c r="G40" s="6">
        <f t="shared" si="10"/>
        <v>0.56499999999999995</v>
      </c>
    </row>
    <row r="41" spans="1:7" x14ac:dyDescent="0.25">
      <c r="A41" t="str">
        <f>Break!A41</f>
        <v>Hyd_Kahkasha Parveen (1008551)</v>
      </c>
      <c r="B41" t="str">
        <f t="shared" si="5"/>
        <v>Kahkasha Parveen</v>
      </c>
      <c r="C41" s="5">
        <f t="shared" si="6"/>
        <v>0.34541666666666665</v>
      </c>
      <c r="D41" s="5">
        <f t="shared" si="7"/>
        <v>0.22590277777777779</v>
      </c>
      <c r="E41" s="5">
        <f t="shared" si="8"/>
        <v>4.8749999999999995E-2</v>
      </c>
      <c r="F41">
        <f t="shared" si="9"/>
        <v>58</v>
      </c>
      <c r="G41" s="6">
        <f t="shared" si="10"/>
        <v>0.48580000000000001</v>
      </c>
    </row>
    <row r="42" spans="1:7" x14ac:dyDescent="0.25">
      <c r="A42" t="str">
        <f>Break!A42</f>
        <v>Hyd_Kailash Nath (1008552)</v>
      </c>
      <c r="B42" t="str">
        <f t="shared" si="5"/>
        <v>Kailash Nath</v>
      </c>
      <c r="C42" s="5">
        <f t="shared" si="6"/>
        <v>0.34445601851851854</v>
      </c>
      <c r="D42" s="5">
        <f t="shared" si="7"/>
        <v>0.20725694444444445</v>
      </c>
      <c r="E42" s="5">
        <f t="shared" si="8"/>
        <v>4.6990740740740743E-2</v>
      </c>
      <c r="F42">
        <f t="shared" si="9"/>
        <v>57</v>
      </c>
      <c r="G42" s="6">
        <f t="shared" si="10"/>
        <v>0.57230000000000003</v>
      </c>
    </row>
    <row r="43" spans="1:7" x14ac:dyDescent="0.25">
      <c r="A43" t="str">
        <f>Break!A43</f>
        <v>Hyd_Kalpana Agrawal (1008553)</v>
      </c>
      <c r="B43" t="str">
        <f t="shared" si="5"/>
        <v>Kalpana Agrawal</v>
      </c>
      <c r="C43" s="5">
        <f t="shared" si="6"/>
        <v>0.33342592592592596</v>
      </c>
      <c r="D43" s="5">
        <f t="shared" si="7"/>
        <v>0.16271990740740741</v>
      </c>
      <c r="E43" s="5">
        <f t="shared" si="8"/>
        <v>0.10062500000000001</v>
      </c>
      <c r="F43">
        <f t="shared" si="9"/>
        <v>56</v>
      </c>
      <c r="G43" s="6">
        <f t="shared" si="10"/>
        <v>0.46539999999999998</v>
      </c>
    </row>
    <row r="44" spans="1:7" x14ac:dyDescent="0.25">
      <c r="A44" t="str">
        <f>Break!A44</f>
        <v>Hyd_Kamini Kumar (1008554)</v>
      </c>
      <c r="B44" t="str">
        <f t="shared" si="5"/>
        <v>Kamini Kumar</v>
      </c>
      <c r="C44" s="5">
        <f t="shared" si="6"/>
        <v>0.2094560185185185</v>
      </c>
      <c r="D44" s="5">
        <f t="shared" si="7"/>
        <v>0.13993055555555556</v>
      </c>
      <c r="E44" s="5">
        <f t="shared" si="8"/>
        <v>1.0416666666666666E-2</v>
      </c>
      <c r="F44">
        <f t="shared" si="9"/>
        <v>55</v>
      </c>
      <c r="G44" s="6">
        <f t="shared" si="10"/>
        <v>0.64380000000000004</v>
      </c>
    </row>
    <row r="45" spans="1:7" x14ac:dyDescent="0.25">
      <c r="A45" t="str">
        <f>Break!A45</f>
        <v>Hyd_Kamini Tiwari (1008555)</v>
      </c>
      <c r="B45" t="str">
        <f t="shared" si="5"/>
        <v>Kamini Tiwari</v>
      </c>
      <c r="C45" s="5">
        <f t="shared" si="6"/>
        <v>0.35192129629629632</v>
      </c>
      <c r="D45" s="5">
        <f t="shared" si="7"/>
        <v>0.22140046296296298</v>
      </c>
      <c r="E45" s="5">
        <f t="shared" si="8"/>
        <v>4.8437500000000001E-2</v>
      </c>
      <c r="F45">
        <f t="shared" si="9"/>
        <v>54</v>
      </c>
      <c r="G45" s="6">
        <f t="shared" si="10"/>
        <v>0.57350000000000001</v>
      </c>
    </row>
    <row r="46" spans="1:7" x14ac:dyDescent="0.25">
      <c r="A46" t="str">
        <f>Break!A46</f>
        <v>Hyd_Kavita Sharma (1008556)</v>
      </c>
      <c r="B46" t="str">
        <f t="shared" si="5"/>
        <v>Kavita Sharma</v>
      </c>
      <c r="C46" s="5">
        <f t="shared" si="6"/>
        <v>0.32876157407407408</v>
      </c>
      <c r="D46" s="5">
        <f t="shared" si="7"/>
        <v>0.22660879629629629</v>
      </c>
      <c r="E46" s="5">
        <f t="shared" si="8"/>
        <v>3.9108796296296301E-2</v>
      </c>
      <c r="F46">
        <f t="shared" si="9"/>
        <v>53</v>
      </c>
      <c r="G46" s="6">
        <f t="shared" si="10"/>
        <v>0.6472</v>
      </c>
    </row>
    <row r="47" spans="1:7" x14ac:dyDescent="0.25">
      <c r="A47" t="str">
        <f>Break!A47</f>
        <v>Hyd_Kiran Khubchandani (1008557)</v>
      </c>
      <c r="B47" t="str">
        <f t="shared" si="5"/>
        <v>Kiran Khubchandani</v>
      </c>
      <c r="C47" s="5">
        <f t="shared" si="6"/>
        <v>0.33435185185185184</v>
      </c>
      <c r="D47" s="5">
        <f t="shared" si="7"/>
        <v>0.17586805555555554</v>
      </c>
      <c r="E47" s="5">
        <f t="shared" si="8"/>
        <v>9.0555555555555556E-2</v>
      </c>
      <c r="F47">
        <f t="shared" si="9"/>
        <v>52</v>
      </c>
      <c r="G47" s="6">
        <f t="shared" si="10"/>
        <v>0.50439999999999996</v>
      </c>
    </row>
    <row r="48" spans="1:7" x14ac:dyDescent="0.25">
      <c r="A48" t="str">
        <f>Break!A48</f>
        <v>Hyd_Kisun Sah (1008558)</v>
      </c>
      <c r="B48" t="str">
        <f t="shared" si="5"/>
        <v>Kisun Sah</v>
      </c>
      <c r="C48" s="5">
        <f t="shared" si="6"/>
        <v>0.34831018518518514</v>
      </c>
      <c r="D48" s="5">
        <f t="shared" si="7"/>
        <v>0.21436342592592594</v>
      </c>
      <c r="E48" s="5">
        <f t="shared" si="8"/>
        <v>4.8240740740740744E-2</v>
      </c>
      <c r="F48">
        <f t="shared" si="9"/>
        <v>51</v>
      </c>
      <c r="G48" s="6">
        <f t="shared" si="10"/>
        <v>0.55279999999999996</v>
      </c>
    </row>
    <row r="49" spans="1:7" x14ac:dyDescent="0.25">
      <c r="A49" t="str">
        <f>Break!A49</f>
        <v>Hyd_Krishana Kumar (1008559)</v>
      </c>
      <c r="B49" t="str">
        <f t="shared" si="5"/>
        <v>Krishana Kumar</v>
      </c>
      <c r="C49" s="5">
        <f t="shared" si="6"/>
        <v>0.34407407407407403</v>
      </c>
      <c r="D49" s="5">
        <f t="shared" si="7"/>
        <v>0.19798611111111111</v>
      </c>
      <c r="E49" s="5">
        <f t="shared" si="8"/>
        <v>4.8437500000000001E-2</v>
      </c>
      <c r="F49">
        <f t="shared" si="9"/>
        <v>50</v>
      </c>
      <c r="G49" s="6">
        <f t="shared" si="10"/>
        <v>0.55489999999999995</v>
      </c>
    </row>
    <row r="50" spans="1:7" x14ac:dyDescent="0.25">
      <c r="A50" t="str">
        <f>Break!A50</f>
        <v>Hyd_Kunj Bihari (1008560)</v>
      </c>
      <c r="B50" t="str">
        <f t="shared" si="5"/>
        <v>Kunj Bihari</v>
      </c>
      <c r="C50" s="5">
        <f t="shared" si="6"/>
        <v>0.33285879629629628</v>
      </c>
      <c r="D50" s="5">
        <f t="shared" si="7"/>
        <v>0.19598379629629628</v>
      </c>
      <c r="E50" s="5">
        <f t="shared" si="8"/>
        <v>4.8738425925925921E-2</v>
      </c>
      <c r="F50">
        <f t="shared" si="9"/>
        <v>49</v>
      </c>
      <c r="G50" s="6">
        <f t="shared" si="10"/>
        <v>0.55220000000000002</v>
      </c>
    </row>
    <row r="51" spans="1:7" x14ac:dyDescent="0.25">
      <c r="A51" t="str">
        <f>Break!A51</f>
        <v>Hyd_Leena George (1008561)</v>
      </c>
      <c r="B51" t="str">
        <f t="shared" si="5"/>
        <v>Leena George</v>
      </c>
      <c r="C51" s="5">
        <f t="shared" si="6"/>
        <v>0.20570601851851852</v>
      </c>
      <c r="D51" s="5">
        <f t="shared" si="7"/>
        <v>0.13252314814814814</v>
      </c>
      <c r="E51" s="5">
        <f t="shared" si="8"/>
        <v>1.2615740740740742E-2</v>
      </c>
      <c r="F51">
        <f t="shared" si="9"/>
        <v>48</v>
      </c>
      <c r="G51" s="6">
        <f t="shared" si="10"/>
        <v>0.58819999999999995</v>
      </c>
    </row>
    <row r="52" spans="1:7" x14ac:dyDescent="0.25">
      <c r="A52" t="str">
        <f>Break!A52</f>
        <v>Hyd_Lilly Lucy (1008562)</v>
      </c>
      <c r="B52" t="str">
        <f t="shared" si="5"/>
        <v>Lilly Lucy</v>
      </c>
      <c r="C52" s="5">
        <f t="shared" si="6"/>
        <v>0.32318287037037036</v>
      </c>
      <c r="D52" s="5">
        <f t="shared" si="7"/>
        <v>0.19381944444444443</v>
      </c>
      <c r="E52" s="5">
        <f t="shared" si="8"/>
        <v>5.1898148148148145E-2</v>
      </c>
      <c r="F52">
        <f t="shared" si="9"/>
        <v>47</v>
      </c>
      <c r="G52" s="6">
        <f t="shared" si="10"/>
        <v>0.55530000000000002</v>
      </c>
    </row>
    <row r="53" spans="1:7" x14ac:dyDescent="0.25">
      <c r="A53" t="str">
        <f>Break!A53</f>
        <v>Hyd_Mangal Singh (1008563)</v>
      </c>
      <c r="B53" t="str">
        <f t="shared" si="5"/>
        <v>Mangal Singh</v>
      </c>
      <c r="C53" s="5">
        <f t="shared" si="6"/>
        <v>0.33348379629629626</v>
      </c>
      <c r="D53" s="5">
        <f t="shared" si="7"/>
        <v>0.19890046296296296</v>
      </c>
      <c r="E53" s="5">
        <f t="shared" si="8"/>
        <v>4.8657407407407406E-2</v>
      </c>
      <c r="F53">
        <f t="shared" si="9"/>
        <v>46</v>
      </c>
      <c r="G53" s="6">
        <f t="shared" si="10"/>
        <v>0.55820000000000003</v>
      </c>
    </row>
    <row r="54" spans="1:7" x14ac:dyDescent="0.25">
      <c r="A54" t="str">
        <f>Break!A54</f>
        <v>Hyd_Manisha Shrivastava (1008564)</v>
      </c>
      <c r="B54" t="str">
        <f t="shared" si="5"/>
        <v>Manisha Shrivastava</v>
      </c>
      <c r="C54" s="5">
        <f t="shared" si="6"/>
        <v>0.34015046296296297</v>
      </c>
      <c r="D54" s="5">
        <f t="shared" si="7"/>
        <v>0.20222222222222222</v>
      </c>
      <c r="E54" s="5">
        <f t="shared" si="8"/>
        <v>4.8715277777777781E-2</v>
      </c>
      <c r="F54">
        <f t="shared" si="9"/>
        <v>45</v>
      </c>
      <c r="G54" s="6">
        <f t="shared" si="10"/>
        <v>0.53</v>
      </c>
    </row>
    <row r="55" spans="1:7" x14ac:dyDescent="0.25">
      <c r="A55" t="str">
        <f>Break!A55</f>
        <v>Hyd_Manjusha Sinha (1008565)</v>
      </c>
      <c r="B55" t="str">
        <f t="shared" si="5"/>
        <v>Manjusha Sinha</v>
      </c>
      <c r="C55" s="5">
        <f t="shared" si="6"/>
        <v>0.34311342592592592</v>
      </c>
      <c r="D55" s="5">
        <f t="shared" si="7"/>
        <v>0.21112268518518518</v>
      </c>
      <c r="E55" s="5">
        <f t="shared" si="8"/>
        <v>4.9062500000000002E-2</v>
      </c>
      <c r="F55">
        <f t="shared" si="9"/>
        <v>44</v>
      </c>
      <c r="G55" s="6">
        <f t="shared" si="10"/>
        <v>0.5464</v>
      </c>
    </row>
    <row r="56" spans="1:7" x14ac:dyDescent="0.25">
      <c r="A56" t="str">
        <f>Break!A56</f>
        <v>Hyd_ManjuTiwari Lab (1008566)</v>
      </c>
      <c r="B56" t="str">
        <f t="shared" si="5"/>
        <v>ManjuTiwari Lab</v>
      </c>
      <c r="C56" s="5">
        <f t="shared" si="6"/>
        <v>0.32046296296296295</v>
      </c>
      <c r="D56" s="5">
        <f t="shared" si="7"/>
        <v>0.18484953703703702</v>
      </c>
      <c r="E56" s="5">
        <f t="shared" si="8"/>
        <v>4.9143518518518524E-2</v>
      </c>
      <c r="F56">
        <f t="shared" si="9"/>
        <v>43</v>
      </c>
      <c r="G56" s="6">
        <f t="shared" si="10"/>
        <v>0.52849999999999997</v>
      </c>
    </row>
    <row r="57" spans="1:7" x14ac:dyDescent="0.25">
      <c r="A57" t="str">
        <f>Break!A57</f>
        <v>Hyd_Manoj Kumar (1008567)</v>
      </c>
      <c r="B57" t="str">
        <f t="shared" si="5"/>
        <v>Manoj Kumar</v>
      </c>
      <c r="C57" s="5">
        <f t="shared" si="6"/>
        <v>0.33384259259259258</v>
      </c>
      <c r="D57" s="5">
        <f t="shared" si="7"/>
        <v>0.1867824074074074</v>
      </c>
      <c r="E57" s="5">
        <f t="shared" si="8"/>
        <v>4.853009259259259E-2</v>
      </c>
      <c r="F57">
        <f t="shared" si="9"/>
        <v>42</v>
      </c>
      <c r="G57" s="6">
        <f t="shared" si="10"/>
        <v>0.53280000000000005</v>
      </c>
    </row>
    <row r="58" spans="1:7" x14ac:dyDescent="0.25">
      <c r="A58" t="str">
        <f>Break!A58</f>
        <v>Hyd_Manoj Kumar (1008568)</v>
      </c>
      <c r="B58" t="str">
        <f t="shared" si="5"/>
        <v>Manoj Kumar</v>
      </c>
      <c r="C58" s="5">
        <f t="shared" si="6"/>
        <v>0.33012731481481478</v>
      </c>
      <c r="D58" s="5">
        <f t="shared" si="7"/>
        <v>0.18739583333333332</v>
      </c>
      <c r="E58" s="5">
        <f t="shared" si="8"/>
        <v>5.2766203703703697E-2</v>
      </c>
      <c r="F58">
        <f t="shared" si="9"/>
        <v>41</v>
      </c>
      <c r="G58" s="6">
        <f t="shared" si="10"/>
        <v>0.53149999999999997</v>
      </c>
    </row>
    <row r="59" spans="1:7" x14ac:dyDescent="0.25">
      <c r="A59" t="str">
        <f>Break!A59</f>
        <v>Hyd_Masroor Adil (1008569)</v>
      </c>
      <c r="B59" t="str">
        <f t="shared" si="5"/>
        <v>Masroor Adil</v>
      </c>
      <c r="C59" s="5">
        <f t="shared" si="6"/>
        <v>0.34032407407407406</v>
      </c>
      <c r="D59" s="5">
        <f t="shared" si="7"/>
        <v>0.21151620370370372</v>
      </c>
      <c r="E59" s="5">
        <f t="shared" si="8"/>
        <v>4.9756944444444444E-2</v>
      </c>
      <c r="F59">
        <f t="shared" si="9"/>
        <v>40</v>
      </c>
      <c r="G59" s="6">
        <f t="shared" si="10"/>
        <v>0.58950000000000002</v>
      </c>
    </row>
    <row r="60" spans="1:7" x14ac:dyDescent="0.25">
      <c r="A60" t="str">
        <f>Break!A60</f>
        <v>Hyd_Meena Zinjare (1008570)</v>
      </c>
      <c r="B60" t="str">
        <f t="shared" si="5"/>
        <v>Meena Zinjare</v>
      </c>
      <c r="C60" s="5">
        <f t="shared" si="6"/>
        <v>0.33714120370370365</v>
      </c>
      <c r="D60" s="5">
        <f t="shared" si="7"/>
        <v>0.13162037037037036</v>
      </c>
      <c r="E60" s="5">
        <f t="shared" si="8"/>
        <v>0.14913194444444444</v>
      </c>
      <c r="F60">
        <f t="shared" si="9"/>
        <v>39</v>
      </c>
      <c r="G60" s="6">
        <f t="shared" si="10"/>
        <v>0.34899999999999998</v>
      </c>
    </row>
    <row r="61" spans="1:7" x14ac:dyDescent="0.25">
      <c r="A61" t="str">
        <f>Break!A61</f>
        <v>Hyd_Mehnaz Khan (1008571)</v>
      </c>
      <c r="B61" t="str">
        <f t="shared" si="5"/>
        <v>Mehnaz Khan</v>
      </c>
      <c r="C61" s="5">
        <f t="shared" si="6"/>
        <v>0.34364583333333337</v>
      </c>
      <c r="D61" s="5">
        <f t="shared" si="7"/>
        <v>0.17246527777777776</v>
      </c>
      <c r="E61" s="5">
        <f t="shared" si="8"/>
        <v>9.194444444444444E-2</v>
      </c>
      <c r="F61">
        <f t="shared" si="9"/>
        <v>38</v>
      </c>
      <c r="G61" s="6">
        <f t="shared" si="10"/>
        <v>0.4793</v>
      </c>
    </row>
    <row r="62" spans="1:7" x14ac:dyDescent="0.25">
      <c r="A62" t="str">
        <f>Break!A62</f>
        <v>Hyd_Mercy Thampi (1008572)</v>
      </c>
      <c r="B62" t="str">
        <f t="shared" si="5"/>
        <v>Mercy Thampi</v>
      </c>
      <c r="C62" s="5">
        <f t="shared" si="6"/>
        <v>0.21915509259259258</v>
      </c>
      <c r="D62" s="5">
        <f t="shared" si="7"/>
        <v>0.15189814814814814</v>
      </c>
      <c r="E62" s="5">
        <f t="shared" si="8"/>
        <v>1.082175925925926E-2</v>
      </c>
      <c r="F62">
        <f t="shared" si="9"/>
        <v>37</v>
      </c>
      <c r="G62" s="6">
        <f t="shared" si="10"/>
        <v>0.62760000000000005</v>
      </c>
    </row>
    <row r="63" spans="1:7" x14ac:dyDescent="0.25">
      <c r="A63" t="str">
        <f>Break!A63</f>
        <v>Hyd_Miny Mole (1008573)</v>
      </c>
      <c r="B63" t="str">
        <f t="shared" si="5"/>
        <v>Miny Mole</v>
      </c>
      <c r="C63" s="5">
        <f t="shared" si="6"/>
        <v>0.3417824074074074</v>
      </c>
      <c r="D63" s="5">
        <f t="shared" si="7"/>
        <v>0.17645833333333336</v>
      </c>
      <c r="E63" s="5">
        <f t="shared" si="8"/>
        <v>9.2442129629629624E-2</v>
      </c>
      <c r="F63">
        <f t="shared" si="9"/>
        <v>36</v>
      </c>
      <c r="G63" s="6">
        <f t="shared" si="10"/>
        <v>0.47560000000000002</v>
      </c>
    </row>
    <row r="64" spans="1:7" x14ac:dyDescent="0.25">
      <c r="A64" t="str">
        <f>Break!A64</f>
        <v>Hyd_Mohd Rafi (1008574)</v>
      </c>
      <c r="B64" t="str">
        <f t="shared" si="5"/>
        <v>Mohd Rafi</v>
      </c>
      <c r="C64" s="5">
        <f t="shared" si="6"/>
        <v>0.33370370370370367</v>
      </c>
      <c r="D64" s="5">
        <f t="shared" si="7"/>
        <v>0.16336805555555556</v>
      </c>
      <c r="E64" s="5">
        <f t="shared" si="8"/>
        <v>0.11005787037037036</v>
      </c>
      <c r="F64">
        <f t="shared" si="9"/>
        <v>35</v>
      </c>
      <c r="G64" s="6">
        <f t="shared" si="10"/>
        <v>0.43640000000000001</v>
      </c>
    </row>
    <row r="65" spans="1:7" x14ac:dyDescent="0.25">
      <c r="A65" t="str">
        <f>Break!A65</f>
        <v>Hyd_Mubeen Khan (1008575)</v>
      </c>
      <c r="B65" t="str">
        <f t="shared" si="5"/>
        <v>Mubeen Khan</v>
      </c>
      <c r="C65" s="5">
        <f t="shared" si="6"/>
        <v>0.33026620370370369</v>
      </c>
      <c r="D65" s="5">
        <f t="shared" si="7"/>
        <v>0.16021990740740741</v>
      </c>
      <c r="E65" s="5">
        <f t="shared" si="8"/>
        <v>0.10043981481481483</v>
      </c>
      <c r="F65">
        <f t="shared" si="9"/>
        <v>34</v>
      </c>
      <c r="G65" s="6">
        <f t="shared" si="10"/>
        <v>0.45129999999999998</v>
      </c>
    </row>
    <row r="66" spans="1:7" x14ac:dyDescent="0.25">
      <c r="A66" t="str">
        <f>Break!A66</f>
        <v>Hyd_Mukesh Nagar (1008576)</v>
      </c>
      <c r="B66" t="str">
        <f t="shared" si="5"/>
        <v>Mukesh Nagar</v>
      </c>
      <c r="C66" s="5">
        <f t="shared" ref="C66:C97" si="11">(VLOOKUP(A66,EData,2,0))</f>
        <v>0.20910879629629631</v>
      </c>
      <c r="D66" s="5">
        <f t="shared" ref="D66:D97" si="12">VLOOKUP(A66,EData,3,0)</f>
        <v>0.13449074074074074</v>
      </c>
      <c r="E66" s="5">
        <f t="shared" ref="E66:E97" si="13">VLOOKUP(A66,BData,9,0)</f>
        <v>2.0532407407407405E-2</v>
      </c>
      <c r="F66">
        <f t="shared" ref="F66:F97" si="14">VLOOKUP(A66,PData,2,0)</f>
        <v>33</v>
      </c>
      <c r="G66" s="6">
        <f t="shared" ref="G66:G97" si="15">VLOOKUP(A66,EData,6,0)</f>
        <v>0.61240000000000006</v>
      </c>
    </row>
    <row r="67" spans="1:7" x14ac:dyDescent="0.25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5">
        <f t="shared" si="11"/>
        <v>0.34836805555555556</v>
      </c>
      <c r="D67" s="5">
        <f t="shared" si="12"/>
        <v>0.19697916666666668</v>
      </c>
      <c r="E67" s="5">
        <f t="shared" si="13"/>
        <v>5.1423611111111107E-2</v>
      </c>
      <c r="F67">
        <f t="shared" si="14"/>
        <v>32</v>
      </c>
      <c r="G67" s="6">
        <f t="shared" si="15"/>
        <v>0.51759999999999995</v>
      </c>
    </row>
    <row r="68" spans="1:7" x14ac:dyDescent="0.25">
      <c r="A68" t="str">
        <f>Break!A68</f>
        <v>Hyd_Narayan Singh (1008578)</v>
      </c>
      <c r="B68" t="str">
        <f t="shared" si="16"/>
        <v>Narayan Singh</v>
      </c>
      <c r="C68" s="5">
        <f t="shared" si="11"/>
        <v>0.34686342592592595</v>
      </c>
      <c r="D68" s="5">
        <f t="shared" si="12"/>
        <v>0.2043865740740741</v>
      </c>
      <c r="E68" s="5">
        <f t="shared" si="13"/>
        <v>4.7534722222222221E-2</v>
      </c>
      <c r="F68">
        <f t="shared" si="14"/>
        <v>31</v>
      </c>
      <c r="G68" s="6">
        <f t="shared" si="15"/>
        <v>0.55549999999999999</v>
      </c>
    </row>
    <row r="69" spans="1:7" x14ac:dyDescent="0.25">
      <c r="A69" t="str">
        <f>Break!A69</f>
        <v>Hyd_Neeraj Saxena (1008579)</v>
      </c>
      <c r="B69" t="str">
        <f t="shared" si="16"/>
        <v>Neeraj Saxena</v>
      </c>
      <c r="C69" s="5">
        <f t="shared" si="11"/>
        <v>0.3480671296296296</v>
      </c>
      <c r="D69" s="5">
        <f t="shared" si="12"/>
        <v>0.19177083333333333</v>
      </c>
      <c r="E69" s="5">
        <f t="shared" si="13"/>
        <v>9.3958333333333324E-2</v>
      </c>
      <c r="F69">
        <f t="shared" si="14"/>
        <v>30</v>
      </c>
      <c r="G69" s="6">
        <f t="shared" si="15"/>
        <v>0.45540000000000003</v>
      </c>
    </row>
    <row r="70" spans="1:7" x14ac:dyDescent="0.25">
      <c r="A70" t="str">
        <f>Break!A70</f>
        <v>Hyd_Neeru Mehta (1008580)</v>
      </c>
      <c r="B70" t="str">
        <f t="shared" si="16"/>
        <v>Neeru Mehta</v>
      </c>
      <c r="C70" s="5">
        <f t="shared" si="11"/>
        <v>0.33495370370370375</v>
      </c>
      <c r="D70" s="5">
        <f t="shared" si="12"/>
        <v>0.19739583333333333</v>
      </c>
      <c r="E70" s="5">
        <f t="shared" si="13"/>
        <v>4.8645833333333333E-2</v>
      </c>
      <c r="F70">
        <f t="shared" si="14"/>
        <v>29</v>
      </c>
      <c r="G70" s="6">
        <f t="shared" si="15"/>
        <v>0.53449999999999998</v>
      </c>
    </row>
    <row r="71" spans="1:7" x14ac:dyDescent="0.25">
      <c r="A71" t="str">
        <f>Break!A71</f>
        <v>Hyd_Nikita Panwalkar (1008581)</v>
      </c>
      <c r="B71" t="str">
        <f t="shared" si="16"/>
        <v>Nikita Panwalkar</v>
      </c>
      <c r="C71" s="5">
        <f t="shared" si="11"/>
        <v>0.34497685185185184</v>
      </c>
      <c r="D71" s="5">
        <f t="shared" si="12"/>
        <v>0.20746527777777779</v>
      </c>
      <c r="E71" s="5">
        <f t="shared" si="13"/>
        <v>6.7650462962962968E-2</v>
      </c>
      <c r="F71">
        <f t="shared" si="14"/>
        <v>28</v>
      </c>
      <c r="G71" s="6">
        <f t="shared" si="15"/>
        <v>0.55910000000000004</v>
      </c>
    </row>
    <row r="72" spans="1:7" x14ac:dyDescent="0.25">
      <c r="A72" t="str">
        <f>Break!A72</f>
        <v>Hyd_Nitin Bhatia (1008582)</v>
      </c>
      <c r="B72" t="str">
        <f t="shared" si="16"/>
        <v>Nitin Bhatia</v>
      </c>
      <c r="C72" s="5">
        <f t="shared" si="11"/>
        <v>0.33376157407407409</v>
      </c>
      <c r="D72" s="5">
        <f t="shared" si="12"/>
        <v>0.19787037037037036</v>
      </c>
      <c r="E72" s="5">
        <f t="shared" si="13"/>
        <v>4.853009259259259E-2</v>
      </c>
      <c r="F72">
        <f t="shared" si="14"/>
        <v>29</v>
      </c>
      <c r="G72" s="6">
        <f t="shared" si="15"/>
        <v>0.56850000000000001</v>
      </c>
    </row>
    <row r="73" spans="1:7" x14ac:dyDescent="0.25">
      <c r="A73" t="str">
        <f>Break!A73</f>
        <v>Hyd_Om Prakash (1008583)</v>
      </c>
      <c r="B73" t="str">
        <f t="shared" si="16"/>
        <v>Om Prakash</v>
      </c>
      <c r="C73" s="5">
        <f t="shared" si="11"/>
        <v>0.33037037037037037</v>
      </c>
      <c r="D73" s="5">
        <f t="shared" si="12"/>
        <v>0.1849652777777778</v>
      </c>
      <c r="E73" s="5">
        <f t="shared" si="13"/>
        <v>6.6701388888888893E-2</v>
      </c>
      <c r="F73">
        <f t="shared" si="14"/>
        <v>30</v>
      </c>
      <c r="G73" s="6">
        <f t="shared" si="15"/>
        <v>0.47510000000000002</v>
      </c>
    </row>
    <row r="74" spans="1:7" x14ac:dyDescent="0.25">
      <c r="A74" t="str">
        <f>Break!A74</f>
        <v>Hyd_Omprakash O (1008584)</v>
      </c>
      <c r="B74" t="str">
        <f t="shared" si="16"/>
        <v>Omprakash O</v>
      </c>
      <c r="C74" s="5">
        <f t="shared" si="11"/>
        <v>0.34008101851851852</v>
      </c>
      <c r="D74" s="5">
        <f t="shared" si="12"/>
        <v>0.16811342592592593</v>
      </c>
      <c r="E74" s="5">
        <f t="shared" si="13"/>
        <v>9.1597222222222219E-2</v>
      </c>
      <c r="F74">
        <f t="shared" si="14"/>
        <v>31</v>
      </c>
      <c r="G74" s="6">
        <f t="shared" si="15"/>
        <v>0.4758</v>
      </c>
    </row>
    <row r="75" spans="1:7" x14ac:dyDescent="0.25">
      <c r="A75" t="str">
        <f>Break!A75</f>
        <v>Hyd_Owais Mohd (1008585)</v>
      </c>
      <c r="B75" t="str">
        <f t="shared" si="16"/>
        <v>Owais Mohd</v>
      </c>
      <c r="C75" s="5">
        <f t="shared" si="11"/>
        <v>0.33415509259259263</v>
      </c>
      <c r="D75" s="5">
        <f t="shared" si="12"/>
        <v>0.16863425925925926</v>
      </c>
      <c r="E75" s="5">
        <f t="shared" si="13"/>
        <v>0.10168981481481482</v>
      </c>
      <c r="F75">
        <f t="shared" si="14"/>
        <v>32</v>
      </c>
      <c r="G75" s="6">
        <f t="shared" si="15"/>
        <v>0.46899999999999997</v>
      </c>
    </row>
    <row r="76" spans="1:7" x14ac:dyDescent="0.25">
      <c r="A76" t="str">
        <f>Break!A76</f>
        <v>Hyd_Pankaj Shelkey (1008586)</v>
      </c>
      <c r="B76" t="str">
        <f t="shared" si="16"/>
        <v>Pankaj Shelkey</v>
      </c>
      <c r="C76" s="5">
        <f t="shared" si="11"/>
        <v>0.34437500000000004</v>
      </c>
      <c r="D76" s="5">
        <f t="shared" si="12"/>
        <v>0.18534722222222222</v>
      </c>
      <c r="E76" s="5">
        <f t="shared" si="13"/>
        <v>8.0162037037037046E-2</v>
      </c>
      <c r="F76">
        <f t="shared" si="14"/>
        <v>33</v>
      </c>
      <c r="G76" s="6">
        <f t="shared" si="15"/>
        <v>0.51359999999999995</v>
      </c>
    </row>
    <row r="77" spans="1:7" x14ac:dyDescent="0.25">
      <c r="A77" t="str">
        <f>Break!A77</f>
        <v>Hyd_Partha Sarathi (1008587)</v>
      </c>
      <c r="B77" t="str">
        <f t="shared" si="16"/>
        <v>Partha Sarathi</v>
      </c>
      <c r="C77" s="5">
        <f t="shared" si="11"/>
        <v>0.3558101851851852</v>
      </c>
      <c r="D77" s="5">
        <f t="shared" si="12"/>
        <v>0.21642361111111111</v>
      </c>
      <c r="E77" s="5">
        <f t="shared" si="13"/>
        <v>6.8541666666666667E-2</v>
      </c>
      <c r="F77">
        <f t="shared" si="14"/>
        <v>34</v>
      </c>
      <c r="G77" s="6">
        <f t="shared" si="15"/>
        <v>0.52510000000000001</v>
      </c>
    </row>
    <row r="78" spans="1:7" x14ac:dyDescent="0.25">
      <c r="A78" t="str">
        <f>Break!A78</f>
        <v>Hyd_Prabha Desikan (1008588)</v>
      </c>
      <c r="B78" t="str">
        <f t="shared" si="16"/>
        <v>Prabha Desikan</v>
      </c>
      <c r="C78" s="5">
        <f t="shared" si="11"/>
        <v>0.34848379629629633</v>
      </c>
      <c r="D78" s="5">
        <f t="shared" si="12"/>
        <v>0.12767361111111111</v>
      </c>
      <c r="E78" s="5">
        <f t="shared" si="13"/>
        <v>0.17460648148148147</v>
      </c>
      <c r="F78">
        <f t="shared" si="14"/>
        <v>35</v>
      </c>
      <c r="G78" s="6">
        <f t="shared" si="15"/>
        <v>0.34860000000000002</v>
      </c>
    </row>
    <row r="79" spans="1:7" x14ac:dyDescent="0.25">
      <c r="A79" t="str">
        <f>Break!A79</f>
        <v>Hyd_Pramod Tiwari (1008589)</v>
      </c>
      <c r="B79" t="str">
        <f t="shared" si="16"/>
        <v>Pramod Tiwari</v>
      </c>
      <c r="C79" s="5">
        <f t="shared" si="11"/>
        <v>0.35092592592592592</v>
      </c>
      <c r="D79" s="5">
        <f t="shared" si="12"/>
        <v>0.12086805555555556</v>
      </c>
      <c r="E79" s="5">
        <f t="shared" si="13"/>
        <v>0.18131944444444445</v>
      </c>
      <c r="F79">
        <f t="shared" si="14"/>
        <v>36</v>
      </c>
      <c r="G79" s="6">
        <f t="shared" si="15"/>
        <v>0.31469999999999998</v>
      </c>
    </row>
    <row r="80" spans="1:7" x14ac:dyDescent="0.25">
      <c r="A80" t="str">
        <f>Break!A80</f>
        <v>Hyd_Prasannakumari S (1008590)</v>
      </c>
      <c r="B80" t="str">
        <f t="shared" si="16"/>
        <v>Prasannakumari S</v>
      </c>
      <c r="C80" s="5">
        <f t="shared" si="11"/>
        <v>0.33891203703703704</v>
      </c>
      <c r="D80" s="5">
        <f t="shared" si="12"/>
        <v>0.21581018518518516</v>
      </c>
      <c r="E80" s="5">
        <f t="shared" si="13"/>
        <v>4.8900462962962965E-2</v>
      </c>
      <c r="F80">
        <f t="shared" si="14"/>
        <v>37</v>
      </c>
      <c r="G80" s="6">
        <f t="shared" si="15"/>
        <v>0.55600000000000005</v>
      </c>
    </row>
    <row r="81" spans="1:7" x14ac:dyDescent="0.25">
      <c r="A81" t="str">
        <f>Break!A81</f>
        <v>Hyd_Praveen Kumar (1008591)</v>
      </c>
      <c r="B81" t="str">
        <f t="shared" si="16"/>
        <v>Praveen Kumar</v>
      </c>
      <c r="C81" s="5">
        <f t="shared" si="11"/>
        <v>0.34675925925925927</v>
      </c>
      <c r="D81" s="5">
        <f t="shared" si="12"/>
        <v>0.17275462962962962</v>
      </c>
      <c r="E81" s="5">
        <f t="shared" si="13"/>
        <v>0.10935185185185185</v>
      </c>
      <c r="F81">
        <f t="shared" si="14"/>
        <v>38</v>
      </c>
      <c r="G81" s="6">
        <f t="shared" si="15"/>
        <v>0.4622</v>
      </c>
    </row>
    <row r="82" spans="1:7" x14ac:dyDescent="0.25">
      <c r="A82" t="str">
        <f>Break!A82</f>
        <v>Hyd_Rachel Mathew (1008592)</v>
      </c>
      <c r="B82" t="str">
        <f t="shared" si="16"/>
        <v>Rachel Mathew</v>
      </c>
      <c r="C82" s="5">
        <f t="shared" si="11"/>
        <v>0.3511111111111111</v>
      </c>
      <c r="D82" s="5">
        <f t="shared" si="12"/>
        <v>0.15339120370370371</v>
      </c>
      <c r="E82" s="5">
        <f t="shared" si="13"/>
        <v>0.13890046296296296</v>
      </c>
      <c r="F82">
        <f t="shared" si="14"/>
        <v>39</v>
      </c>
      <c r="G82" s="6">
        <f t="shared" si="15"/>
        <v>0.39079999999999998</v>
      </c>
    </row>
    <row r="83" spans="1:7" x14ac:dyDescent="0.25">
      <c r="A83" t="str">
        <f>Break!A83</f>
        <v>Hyd_Rachita Anupam (1008593)</v>
      </c>
      <c r="B83" t="str">
        <f t="shared" si="16"/>
        <v>Rachita Anupam</v>
      </c>
      <c r="C83" s="5">
        <f t="shared" si="11"/>
        <v>0.3447453703703704</v>
      </c>
      <c r="D83" s="5">
        <f t="shared" si="12"/>
        <v>0.21947916666666667</v>
      </c>
      <c r="E83" s="5">
        <f t="shared" si="13"/>
        <v>4.7592592592592596E-2</v>
      </c>
      <c r="F83">
        <f t="shared" si="14"/>
        <v>40</v>
      </c>
      <c r="G83" s="6">
        <f t="shared" si="15"/>
        <v>0.54710000000000003</v>
      </c>
    </row>
    <row r="84" spans="1:7" x14ac:dyDescent="0.25">
      <c r="A84" t="str">
        <f>Break!A84</f>
        <v>Hyd_Rachna Chauhan (1008594)</v>
      </c>
      <c r="B84" t="str">
        <f t="shared" si="16"/>
        <v>Rachna Chauhan</v>
      </c>
      <c r="C84" s="5">
        <f t="shared" si="11"/>
        <v>0.3167476851851852</v>
      </c>
      <c r="D84" s="5">
        <f t="shared" si="12"/>
        <v>0.21346064814814814</v>
      </c>
      <c r="E84" s="5">
        <f t="shared" si="13"/>
        <v>2.1064814814814814E-2</v>
      </c>
      <c r="F84">
        <f t="shared" si="14"/>
        <v>41</v>
      </c>
      <c r="G84" s="6">
        <f t="shared" si="15"/>
        <v>0.61460000000000004</v>
      </c>
    </row>
    <row r="85" spans="1:7" x14ac:dyDescent="0.25">
      <c r="A85" t="str">
        <f>Break!A85</f>
        <v>Hyd_Raj Kumar (1008595)</v>
      </c>
      <c r="B85" t="str">
        <f t="shared" si="16"/>
        <v>Raj Kumar</v>
      </c>
      <c r="C85" s="5">
        <f t="shared" si="11"/>
        <v>0.34024305555555556</v>
      </c>
      <c r="D85" s="5">
        <f t="shared" si="12"/>
        <v>0.21100694444444446</v>
      </c>
      <c r="E85" s="5">
        <f t="shared" si="13"/>
        <v>4.7731481481481486E-2</v>
      </c>
      <c r="F85">
        <f t="shared" si="14"/>
        <v>42</v>
      </c>
      <c r="G85" s="6">
        <f t="shared" si="15"/>
        <v>0.5534</v>
      </c>
    </row>
    <row r="86" spans="1:7" x14ac:dyDescent="0.25">
      <c r="A86" t="str">
        <f>Break!A86</f>
        <v>Hyd_Rajeev Garg (1008596)</v>
      </c>
      <c r="B86" t="str">
        <f t="shared" si="16"/>
        <v>Rajeev Garg</v>
      </c>
      <c r="C86" s="5">
        <f t="shared" si="11"/>
        <v>0.33611111111111108</v>
      </c>
      <c r="D86" s="5">
        <f t="shared" si="12"/>
        <v>0.21214120370370371</v>
      </c>
      <c r="E86" s="5">
        <f t="shared" si="13"/>
        <v>4.7500000000000007E-2</v>
      </c>
      <c r="F86">
        <f t="shared" si="14"/>
        <v>43</v>
      </c>
      <c r="G86" s="6">
        <f t="shared" si="15"/>
        <v>0.61140000000000005</v>
      </c>
    </row>
    <row r="87" spans="1:7" x14ac:dyDescent="0.25">
      <c r="A87" t="str">
        <f>Break!A87</f>
        <v>Hyd_Rajeev Kumar (1008597)</v>
      </c>
      <c r="B87" t="str">
        <f t="shared" si="16"/>
        <v>Rajeev Kumar</v>
      </c>
      <c r="C87" s="5">
        <f t="shared" si="11"/>
        <v>0.3331365740740741</v>
      </c>
      <c r="D87" s="5">
        <f t="shared" si="12"/>
        <v>0.18670138888888888</v>
      </c>
      <c r="E87" s="5">
        <f t="shared" si="13"/>
        <v>6.7430555555555563E-2</v>
      </c>
      <c r="F87">
        <f t="shared" si="14"/>
        <v>44</v>
      </c>
      <c r="G87" s="6">
        <f t="shared" si="15"/>
        <v>0.51219999999999999</v>
      </c>
    </row>
    <row r="88" spans="1:7" x14ac:dyDescent="0.25">
      <c r="A88" t="str">
        <f>Break!A88</f>
        <v>Hyd_Rajendra Gupta (1008598)</v>
      </c>
      <c r="B88" t="str">
        <f t="shared" si="16"/>
        <v>Rajendra Gupta</v>
      </c>
      <c r="C88" s="5">
        <f t="shared" si="11"/>
        <v>0.35135416666666663</v>
      </c>
      <c r="D88" s="5">
        <f t="shared" si="12"/>
        <v>0.20708333333333331</v>
      </c>
      <c r="E88" s="5">
        <f t="shared" si="13"/>
        <v>5.4953703703703706E-2</v>
      </c>
      <c r="F88">
        <f t="shared" si="14"/>
        <v>45</v>
      </c>
      <c r="G88" s="6">
        <f t="shared" si="15"/>
        <v>0.56030000000000002</v>
      </c>
    </row>
    <row r="89" spans="1:7" x14ac:dyDescent="0.25">
      <c r="A89" t="str">
        <f>Break!A89</f>
        <v>Hyd_Rajendra Kumar (1008599)</v>
      </c>
      <c r="B89" t="str">
        <f t="shared" si="16"/>
        <v>Rajendra Kumar</v>
      </c>
      <c r="C89" s="5">
        <f t="shared" si="11"/>
        <v>0.34356481481481477</v>
      </c>
      <c r="D89" s="5">
        <f t="shared" si="12"/>
        <v>0.16344907407407408</v>
      </c>
      <c r="E89" s="5">
        <f t="shared" si="13"/>
        <v>0.10712962962962963</v>
      </c>
      <c r="F89">
        <f t="shared" si="14"/>
        <v>46</v>
      </c>
      <c r="G89" s="6">
        <f t="shared" si="15"/>
        <v>0.4289</v>
      </c>
    </row>
    <row r="90" spans="1:7" x14ac:dyDescent="0.25">
      <c r="A90" t="str">
        <f>Break!A90</f>
        <v>Hyd_Rajendra Prasad (1008600)</v>
      </c>
      <c r="B90" t="str">
        <f t="shared" si="16"/>
        <v>Rajendra Prasad</v>
      </c>
      <c r="C90" s="5">
        <f t="shared" si="11"/>
        <v>0.34900462962962964</v>
      </c>
      <c r="D90" s="5">
        <f t="shared" si="12"/>
        <v>3.3715277777777775E-2</v>
      </c>
      <c r="E90" s="5">
        <f t="shared" si="13"/>
        <v>0.29744212962962963</v>
      </c>
      <c r="F90">
        <f t="shared" si="14"/>
        <v>47</v>
      </c>
      <c r="G90" s="6">
        <f t="shared" si="15"/>
        <v>9.4500000000000001E-2</v>
      </c>
    </row>
    <row r="91" spans="1:7" x14ac:dyDescent="0.25">
      <c r="A91" t="str">
        <f>Break!A91</f>
        <v>Hyd_Rajesh Kumar (1008601)</v>
      </c>
      <c r="B91" t="str">
        <f t="shared" si="16"/>
        <v>Rajesh Kumar</v>
      </c>
      <c r="C91" s="5">
        <f t="shared" si="11"/>
        <v>0.33378472222222227</v>
      </c>
      <c r="D91" s="5">
        <f t="shared" si="12"/>
        <v>0.21655092592592592</v>
      </c>
      <c r="E91" s="5">
        <f t="shared" si="13"/>
        <v>5.004629629629629E-2</v>
      </c>
      <c r="F91">
        <f t="shared" si="14"/>
        <v>48</v>
      </c>
      <c r="G91" s="6">
        <f t="shared" si="15"/>
        <v>0.61019999999999996</v>
      </c>
    </row>
    <row r="92" spans="1:7" x14ac:dyDescent="0.25">
      <c r="A92" t="str">
        <f>Break!A92</f>
        <v>Hyd_Rajesh Kumar (1008602)</v>
      </c>
      <c r="B92" t="str">
        <f t="shared" si="16"/>
        <v>Rajesh Kumar</v>
      </c>
      <c r="C92" s="5">
        <f t="shared" si="11"/>
        <v>0.34559027777777779</v>
      </c>
      <c r="D92" s="5">
        <f t="shared" si="12"/>
        <v>0.2011574074074074</v>
      </c>
      <c r="E92" s="5">
        <f t="shared" si="13"/>
        <v>8.790509259259259E-2</v>
      </c>
      <c r="F92">
        <f t="shared" si="14"/>
        <v>49</v>
      </c>
      <c r="G92" s="6">
        <f t="shared" si="15"/>
        <v>0.51259999999999994</v>
      </c>
    </row>
    <row r="93" spans="1:7" x14ac:dyDescent="0.25">
      <c r="A93" t="str">
        <f>Break!A93</f>
        <v>Hyd_Rajesh Sharma (1008603)</v>
      </c>
      <c r="B93" t="str">
        <f t="shared" si="16"/>
        <v>Rajesh Sharma</v>
      </c>
      <c r="C93" s="5">
        <f t="shared" si="11"/>
        <v>0.21146990740740743</v>
      </c>
      <c r="D93" s="5">
        <f t="shared" si="12"/>
        <v>0.14190972222222223</v>
      </c>
      <c r="E93" s="5">
        <f t="shared" si="13"/>
        <v>1.6979166666666667E-2</v>
      </c>
      <c r="F93">
        <f t="shared" si="14"/>
        <v>50</v>
      </c>
      <c r="G93" s="6">
        <f t="shared" si="15"/>
        <v>0.62429999999999997</v>
      </c>
    </row>
    <row r="94" spans="1:7" x14ac:dyDescent="0.25">
      <c r="A94" t="str">
        <f>Break!A94</f>
        <v>Hyd_Raji Abraham (1008604)</v>
      </c>
      <c r="B94" t="str">
        <f t="shared" si="16"/>
        <v>Raji Abraham</v>
      </c>
      <c r="C94" s="5">
        <f t="shared" si="11"/>
        <v>0.34075231481481483</v>
      </c>
      <c r="D94" s="5">
        <f t="shared" si="12"/>
        <v>0.1976273148148148</v>
      </c>
      <c r="E94" s="5">
        <f t="shared" si="13"/>
        <v>4.8240740740740744E-2</v>
      </c>
      <c r="F94">
        <f t="shared" si="14"/>
        <v>51</v>
      </c>
      <c r="G94" s="6">
        <f t="shared" si="15"/>
        <v>0.54369999999999996</v>
      </c>
    </row>
    <row r="95" spans="1:7" x14ac:dyDescent="0.25">
      <c r="A95" t="str">
        <f>Break!A95</f>
        <v>Hyd_Rajshree Dhabekar (1008605)</v>
      </c>
      <c r="B95" t="str">
        <f t="shared" si="16"/>
        <v>Rajshree Dhabekar</v>
      </c>
      <c r="C95" s="5">
        <f t="shared" si="11"/>
        <v>0.34390046296296295</v>
      </c>
      <c r="D95" s="5">
        <f t="shared" si="12"/>
        <v>0</v>
      </c>
      <c r="E95" s="5">
        <f t="shared" si="13"/>
        <v>0.34385416666666663</v>
      </c>
      <c r="F95">
        <f t="shared" si="14"/>
        <v>52</v>
      </c>
      <c r="G95" s="6">
        <f t="shared" si="15"/>
        <v>0</v>
      </c>
    </row>
    <row r="96" spans="1:7" x14ac:dyDescent="0.25">
      <c r="A96" t="str">
        <f>Break!A96</f>
        <v>Hyd_Rakhi Jodhani (1008606)</v>
      </c>
      <c r="B96" t="str">
        <f t="shared" si="16"/>
        <v>Rakhi Jodhani</v>
      </c>
      <c r="C96" s="5">
        <f t="shared" si="11"/>
        <v>0.33532407407407411</v>
      </c>
      <c r="D96" s="5">
        <f t="shared" si="12"/>
        <v>5.0763888888888886E-2</v>
      </c>
      <c r="E96" s="5">
        <f t="shared" si="13"/>
        <v>0.27759259259259261</v>
      </c>
      <c r="F96">
        <f t="shared" si="14"/>
        <v>53</v>
      </c>
      <c r="G96" s="6">
        <f t="shared" si="15"/>
        <v>0.14430000000000001</v>
      </c>
    </row>
    <row r="97" spans="1:7" x14ac:dyDescent="0.25">
      <c r="A97" t="str">
        <f>Break!A97</f>
        <v>Hyd_Ramji Prasad (1008607)</v>
      </c>
      <c r="B97" t="str">
        <f t="shared" si="16"/>
        <v>Ramji Prasad</v>
      </c>
      <c r="C97" s="5">
        <f t="shared" si="11"/>
        <v>0.34682870370370367</v>
      </c>
      <c r="D97" s="5">
        <f t="shared" si="12"/>
        <v>0.20351851851851852</v>
      </c>
      <c r="E97" s="5">
        <f t="shared" si="13"/>
        <v>5.122685185185185E-2</v>
      </c>
      <c r="F97">
        <f t="shared" si="14"/>
        <v>54</v>
      </c>
      <c r="G97" s="6">
        <f t="shared" si="15"/>
        <v>0.55259999999999998</v>
      </c>
    </row>
    <row r="98" spans="1:7" x14ac:dyDescent="0.25">
      <c r="A98" t="str">
        <f>Break!A98</f>
        <v>Del_Rashid (1008608)</v>
      </c>
      <c r="B98" t="str">
        <f t="shared" si="16"/>
        <v>Rashid</v>
      </c>
      <c r="C98" s="5">
        <f t="shared" ref="C98:C129" si="17">(VLOOKUP(A98,EData,2,0))</f>
        <v>0.33483796296296298</v>
      </c>
      <c r="D98" s="5">
        <f t="shared" ref="D98:D129" si="18">VLOOKUP(A98,EData,3,0)</f>
        <v>6.6759259259259254E-2</v>
      </c>
      <c r="E98" s="5">
        <f t="shared" ref="E98:E129" si="19">VLOOKUP(A98,BData,9,0)</f>
        <v>0.23973379629629629</v>
      </c>
      <c r="F98">
        <f t="shared" ref="F98:F129" si="20">VLOOKUP(A98,PData,2,0)</f>
        <v>55</v>
      </c>
      <c r="G98" s="6">
        <f t="shared" ref="G98:G129" si="21">VLOOKUP(A98,EData,6,0)</f>
        <v>0.18940000000000001</v>
      </c>
    </row>
    <row r="99" spans="1:7" x14ac:dyDescent="0.25">
      <c r="A99" t="str">
        <f>Break!A99</f>
        <v>Del_Rashmi Gajbe (1008609)</v>
      </c>
      <c r="B99" t="str">
        <f t="shared" si="16"/>
        <v>Rashmi Gajbe</v>
      </c>
      <c r="C99" s="5">
        <f t="shared" si="17"/>
        <v>0.34770833333333334</v>
      </c>
      <c r="D99" s="5">
        <f t="shared" si="18"/>
        <v>0.1784375</v>
      </c>
      <c r="E99" s="5">
        <f t="shared" si="19"/>
        <v>8.6782407407407405E-2</v>
      </c>
      <c r="F99">
        <f t="shared" si="20"/>
        <v>56</v>
      </c>
      <c r="G99" s="6">
        <f t="shared" si="21"/>
        <v>0.4708</v>
      </c>
    </row>
    <row r="100" spans="1:7" x14ac:dyDescent="0.25">
      <c r="A100" t="str">
        <f>Break!A100</f>
        <v>Del_Ravi Kumar (1008610)</v>
      </c>
      <c r="B100" t="str">
        <f t="shared" si="16"/>
        <v>Ravi Kumar</v>
      </c>
      <c r="C100" s="5">
        <f t="shared" si="17"/>
        <v>0.33384259259259258</v>
      </c>
      <c r="D100" s="5">
        <f t="shared" si="18"/>
        <v>0.19934027777777777</v>
      </c>
      <c r="E100" s="5">
        <f t="shared" si="19"/>
        <v>4.9467592592592591E-2</v>
      </c>
      <c r="F100">
        <f t="shared" si="20"/>
        <v>57</v>
      </c>
      <c r="G100" s="6">
        <f t="shared" si="21"/>
        <v>0.53859999999999997</v>
      </c>
    </row>
    <row r="101" spans="1:7" x14ac:dyDescent="0.25">
      <c r="A101" t="str">
        <f>Break!A101</f>
        <v>Del_Ravinder Kaur (1008611)</v>
      </c>
      <c r="B101" t="str">
        <f t="shared" si="16"/>
        <v>Ravinder Kaur</v>
      </c>
      <c r="C101" s="5">
        <f t="shared" si="17"/>
        <v>0.3346412037037037</v>
      </c>
      <c r="D101" s="5">
        <f t="shared" si="18"/>
        <v>0.19371527777777778</v>
      </c>
      <c r="E101" s="5">
        <f t="shared" si="19"/>
        <v>4.8240740740740744E-2</v>
      </c>
      <c r="F101">
        <f t="shared" si="20"/>
        <v>58</v>
      </c>
      <c r="G101" s="6">
        <f t="shared" si="21"/>
        <v>0.53290000000000004</v>
      </c>
    </row>
    <row r="102" spans="1:7" x14ac:dyDescent="0.25">
      <c r="A102" t="str">
        <f>Break!A102</f>
        <v>Del_Rekha Agarwal (1008612)</v>
      </c>
      <c r="B102" t="str">
        <f t="shared" si="16"/>
        <v>Rekha Agarwal</v>
      </c>
      <c r="C102" s="5">
        <f t="shared" si="17"/>
        <v>0.24574074074074073</v>
      </c>
      <c r="D102" s="5">
        <f t="shared" si="18"/>
        <v>0.1202199074074074</v>
      </c>
      <c r="E102" s="5">
        <f t="shared" si="19"/>
        <v>0.11229166666666668</v>
      </c>
      <c r="F102">
        <f t="shared" si="20"/>
        <v>59</v>
      </c>
      <c r="G102" s="6">
        <f t="shared" si="21"/>
        <v>0.41310000000000002</v>
      </c>
    </row>
    <row r="103" spans="1:7" x14ac:dyDescent="0.25">
      <c r="A103" t="str">
        <f>Break!A103</f>
        <v>Del_Rekha Gupta (1008613)</v>
      </c>
      <c r="B103" t="str">
        <f t="shared" si="16"/>
        <v>Rekha Gupta</v>
      </c>
      <c r="C103" s="5">
        <f t="shared" si="17"/>
        <v>0.34446759259259263</v>
      </c>
      <c r="D103" s="5">
        <f t="shared" si="18"/>
        <v>0.18254629629629629</v>
      </c>
      <c r="E103" s="5">
        <f t="shared" si="19"/>
        <v>7.6817129629629624E-2</v>
      </c>
      <c r="F103">
        <f t="shared" si="20"/>
        <v>60</v>
      </c>
      <c r="G103" s="6">
        <f t="shared" si="21"/>
        <v>0.50480000000000003</v>
      </c>
    </row>
    <row r="104" spans="1:7" x14ac:dyDescent="0.25">
      <c r="A104" t="str">
        <f>Break!A104</f>
        <v>Del_Rekha Jain  (1008614)</v>
      </c>
      <c r="B104" t="str">
        <f t="shared" si="16"/>
        <v xml:space="preserve">Rekha Jain </v>
      </c>
      <c r="C104" s="5">
        <f t="shared" si="17"/>
        <v>0.34423611111111113</v>
      </c>
      <c r="D104" s="5">
        <f t="shared" si="18"/>
        <v>0.18436342592592592</v>
      </c>
      <c r="E104" s="5">
        <f t="shared" si="19"/>
        <v>6.732638888888888E-2</v>
      </c>
      <c r="F104">
        <f t="shared" si="20"/>
        <v>61</v>
      </c>
      <c r="G104" s="6">
        <f t="shared" si="21"/>
        <v>0.52390000000000003</v>
      </c>
    </row>
    <row r="105" spans="1:7" x14ac:dyDescent="0.25">
      <c r="A105" t="str">
        <f>Break!A105</f>
        <v>Del_Renu Pratap (1008615)</v>
      </c>
      <c r="B105" t="str">
        <f t="shared" si="16"/>
        <v>Renu Pratap</v>
      </c>
      <c r="C105" s="5">
        <f t="shared" si="17"/>
        <v>0.34479166666666666</v>
      </c>
      <c r="D105" s="5">
        <f t="shared" si="18"/>
        <v>0.10450231481481481</v>
      </c>
      <c r="E105" s="5">
        <f t="shared" si="19"/>
        <v>0.21383101851851852</v>
      </c>
      <c r="F105">
        <f t="shared" si="20"/>
        <v>62</v>
      </c>
      <c r="G105" s="6">
        <f t="shared" si="21"/>
        <v>0.25440000000000002</v>
      </c>
    </row>
    <row r="106" spans="1:7" x14ac:dyDescent="0.25">
      <c r="A106" t="str">
        <f>Break!A106</f>
        <v>Del_Ritu Bhatnagar (1008616)</v>
      </c>
      <c r="B106" t="str">
        <f t="shared" si="16"/>
        <v>Ritu Bhatnagar</v>
      </c>
      <c r="C106" s="5">
        <f t="shared" si="17"/>
        <v>0.33458333333333329</v>
      </c>
      <c r="D106" s="5">
        <f t="shared" si="18"/>
        <v>0.20292824074074076</v>
      </c>
      <c r="E106" s="5">
        <f t="shared" si="19"/>
        <v>5.092592592592593E-2</v>
      </c>
      <c r="F106">
        <f t="shared" si="20"/>
        <v>63</v>
      </c>
      <c r="G106" s="6">
        <f t="shared" si="21"/>
        <v>0.55520000000000003</v>
      </c>
    </row>
    <row r="107" spans="1:7" x14ac:dyDescent="0.25">
      <c r="A107" t="str">
        <f>Break!A107</f>
        <v>Del_Rohit Nishchal (1008617)</v>
      </c>
      <c r="B107" t="str">
        <f t="shared" si="16"/>
        <v>Rohit Nishchal</v>
      </c>
      <c r="C107" s="5">
        <f t="shared" si="17"/>
        <v>0.34524305555555551</v>
      </c>
      <c r="D107" s="5">
        <f t="shared" si="18"/>
        <v>0</v>
      </c>
      <c r="E107" s="5">
        <f t="shared" si="19"/>
        <v>0.34513888888888888</v>
      </c>
      <c r="F107">
        <f t="shared" si="20"/>
        <v>64</v>
      </c>
      <c r="G107" s="6">
        <f t="shared" si="21"/>
        <v>0</v>
      </c>
    </row>
    <row r="108" spans="1:7" x14ac:dyDescent="0.25">
      <c r="A108" t="str">
        <f>Break!A108</f>
        <v>Del_Roli Bhatnagar (1008618)</v>
      </c>
      <c r="B108" t="str">
        <f t="shared" si="16"/>
        <v>Roli Bhatnagar</v>
      </c>
      <c r="C108" s="5">
        <f t="shared" si="17"/>
        <v>0.34424768518518517</v>
      </c>
      <c r="D108" s="5">
        <f t="shared" si="18"/>
        <v>0.17256944444444444</v>
      </c>
      <c r="E108" s="5">
        <f t="shared" si="19"/>
        <v>9.0462962962962967E-2</v>
      </c>
      <c r="F108">
        <f t="shared" si="20"/>
        <v>65</v>
      </c>
      <c r="G108" s="6">
        <f t="shared" si="21"/>
        <v>0.47710000000000002</v>
      </c>
    </row>
    <row r="109" spans="1:7" x14ac:dyDescent="0.25">
      <c r="A109" t="str">
        <f>Break!A109</f>
        <v>Del_Roma Rastogi (1008619)</v>
      </c>
      <c r="B109" t="str">
        <f t="shared" si="16"/>
        <v>Roma Rastogi</v>
      </c>
      <c r="C109" s="5">
        <f t="shared" si="17"/>
        <v>0.35488425925925932</v>
      </c>
      <c r="D109" s="5">
        <f t="shared" si="18"/>
        <v>0.23307870370370373</v>
      </c>
      <c r="E109" s="5">
        <f t="shared" si="19"/>
        <v>3.7349537037037035E-2</v>
      </c>
      <c r="F109">
        <f t="shared" si="20"/>
        <v>66</v>
      </c>
      <c r="G109" s="6">
        <f t="shared" si="21"/>
        <v>0.61919999999999997</v>
      </c>
    </row>
    <row r="110" spans="1:7" x14ac:dyDescent="0.25">
      <c r="A110" t="str">
        <f>Break!A110</f>
        <v>Del_Roohi Haider (1008620)</v>
      </c>
      <c r="B110" t="str">
        <f t="shared" si="16"/>
        <v>Roohi Haider</v>
      </c>
      <c r="C110" s="5">
        <f t="shared" si="17"/>
        <v>0.33346064814814813</v>
      </c>
      <c r="D110" s="5">
        <f t="shared" si="18"/>
        <v>0.2029050925925926</v>
      </c>
      <c r="E110" s="5">
        <f t="shared" si="19"/>
        <v>4.8194444444444449E-2</v>
      </c>
      <c r="F110">
        <f t="shared" si="20"/>
        <v>67</v>
      </c>
      <c r="G110" s="6">
        <f t="shared" si="21"/>
        <v>0.55310000000000004</v>
      </c>
    </row>
    <row r="111" spans="1:7" x14ac:dyDescent="0.25">
      <c r="A111" t="str">
        <f>Break!A111</f>
        <v>Del_Sajid Naqvi (1008621)</v>
      </c>
      <c r="B111" t="str">
        <f t="shared" si="16"/>
        <v>Sajid Naqvi</v>
      </c>
      <c r="C111" s="5">
        <f t="shared" si="17"/>
        <v>0.34430555555555559</v>
      </c>
      <c r="D111" s="5">
        <f t="shared" si="18"/>
        <v>0.20876157407407406</v>
      </c>
      <c r="E111" s="5">
        <f t="shared" si="19"/>
        <v>4.7685185185185185E-2</v>
      </c>
      <c r="F111">
        <f t="shared" si="20"/>
        <v>68</v>
      </c>
      <c r="G111" s="6">
        <f t="shared" si="21"/>
        <v>0.56200000000000006</v>
      </c>
    </row>
    <row r="112" spans="1:7" x14ac:dyDescent="0.25">
      <c r="A112" t="str">
        <f>Break!A112</f>
        <v>Del_Salim (1008622)</v>
      </c>
      <c r="B112" t="str">
        <f t="shared" si="16"/>
        <v>Salim</v>
      </c>
      <c r="C112" s="5">
        <f t="shared" si="17"/>
        <v>0.34439814814814818</v>
      </c>
      <c r="D112" s="5">
        <f t="shared" si="18"/>
        <v>0.19284722222222225</v>
      </c>
      <c r="E112" s="5">
        <f t="shared" si="19"/>
        <v>8.2974537037037041E-2</v>
      </c>
      <c r="F112">
        <f t="shared" si="20"/>
        <v>69</v>
      </c>
      <c r="G112" s="6">
        <f t="shared" si="21"/>
        <v>0.48780000000000001</v>
      </c>
    </row>
    <row r="113" spans="1:7" x14ac:dyDescent="0.25">
      <c r="A113" t="str">
        <f>Break!A113</f>
        <v>Del_Sanjay Hire (1008623)</v>
      </c>
      <c r="B113" t="str">
        <f t="shared" si="16"/>
        <v>Sanjay Hire</v>
      </c>
      <c r="C113" s="5">
        <f t="shared" si="17"/>
        <v>0.34435185185185185</v>
      </c>
      <c r="D113" s="5">
        <f t="shared" si="18"/>
        <v>0.20849537037037036</v>
      </c>
      <c r="E113" s="5">
        <f t="shared" si="19"/>
        <v>4.8414351851851854E-2</v>
      </c>
      <c r="F113">
        <f t="shared" si="20"/>
        <v>70</v>
      </c>
      <c r="G113" s="6">
        <f t="shared" si="21"/>
        <v>0.55410000000000004</v>
      </c>
    </row>
    <row r="114" spans="1:7" x14ac:dyDescent="0.25">
      <c r="A114" t="str">
        <f>Break!A114</f>
        <v>Del_Sanjiv Subherwal (1008624)</v>
      </c>
      <c r="B114" t="str">
        <f t="shared" si="16"/>
        <v>Sanjiv Subherwal</v>
      </c>
      <c r="C114" s="5">
        <f t="shared" si="17"/>
        <v>0.33491898148148147</v>
      </c>
      <c r="D114" s="5">
        <f t="shared" si="18"/>
        <v>0.21258101851851852</v>
      </c>
      <c r="E114" s="5">
        <f t="shared" si="19"/>
        <v>4.8784722222222222E-2</v>
      </c>
      <c r="F114">
        <f t="shared" si="20"/>
        <v>71</v>
      </c>
      <c r="G114" s="6">
        <f t="shared" si="21"/>
        <v>0.58650000000000002</v>
      </c>
    </row>
    <row r="115" spans="1:7" x14ac:dyDescent="0.25">
      <c r="A115" t="str">
        <f>Break!A115</f>
        <v>Del_Sanju Ramdas (1008625)</v>
      </c>
      <c r="B115" t="str">
        <f t="shared" si="16"/>
        <v>Sanju Ramdas</v>
      </c>
      <c r="C115" s="5">
        <f t="shared" si="17"/>
        <v>0.34442129629629631</v>
      </c>
      <c r="D115" s="5">
        <f t="shared" si="18"/>
        <v>0.22203703703703703</v>
      </c>
      <c r="E115" s="5">
        <f t="shared" si="19"/>
        <v>5.1342592592592586E-2</v>
      </c>
      <c r="F115">
        <f t="shared" si="20"/>
        <v>72</v>
      </c>
      <c r="G115" s="6">
        <f t="shared" si="21"/>
        <v>0.58169999999999999</v>
      </c>
    </row>
    <row r="116" spans="1:7" x14ac:dyDescent="0.25">
      <c r="A116" t="str">
        <f>Break!A116</f>
        <v>Del_Santosh Kumar (1008626)</v>
      </c>
      <c r="B116" t="str">
        <f t="shared" si="16"/>
        <v>Santosh Kumar</v>
      </c>
      <c r="C116" s="5">
        <f t="shared" si="17"/>
        <v>0.33370370370370367</v>
      </c>
      <c r="D116" s="5">
        <f t="shared" si="18"/>
        <v>0.21053240740740742</v>
      </c>
      <c r="E116" s="5">
        <f t="shared" si="19"/>
        <v>4.8472222222222222E-2</v>
      </c>
      <c r="F116">
        <f t="shared" si="20"/>
        <v>73</v>
      </c>
      <c r="G116" s="6">
        <f t="shared" si="21"/>
        <v>0.5907</v>
      </c>
    </row>
    <row r="117" spans="1:7" x14ac:dyDescent="0.25">
      <c r="A117" t="str">
        <f>Break!A117</f>
        <v>Del_Santosh Kumar (1008627)</v>
      </c>
      <c r="B117" t="str">
        <f t="shared" si="16"/>
        <v>Santosh Kumar</v>
      </c>
      <c r="C117" s="5">
        <f t="shared" si="17"/>
        <v>0.34518518518518521</v>
      </c>
      <c r="D117" s="5">
        <f t="shared" si="18"/>
        <v>0.21524305555555556</v>
      </c>
      <c r="E117" s="5">
        <f t="shared" si="19"/>
        <v>4.9282407407407407E-2</v>
      </c>
      <c r="F117">
        <f t="shared" si="20"/>
        <v>74</v>
      </c>
      <c r="G117" s="6">
        <f t="shared" si="21"/>
        <v>0.58640000000000003</v>
      </c>
    </row>
    <row r="118" spans="1:7" x14ac:dyDescent="0.25">
      <c r="A118" t="str">
        <f>Break!A118</f>
        <v>Del_Santosh Kumar (1008628)</v>
      </c>
      <c r="B118" t="str">
        <f t="shared" si="16"/>
        <v>Santosh Kumar</v>
      </c>
      <c r="C118" s="5">
        <f t="shared" si="17"/>
        <v>0.3354050925925926</v>
      </c>
      <c r="D118" s="5">
        <f t="shared" si="18"/>
        <v>0.19744212962962962</v>
      </c>
      <c r="E118" s="5">
        <f t="shared" si="19"/>
        <v>5.0011574074074076E-2</v>
      </c>
      <c r="F118">
        <f t="shared" si="20"/>
        <v>75</v>
      </c>
      <c r="G118" s="6">
        <f t="shared" si="21"/>
        <v>0.54649999999999999</v>
      </c>
    </row>
    <row r="119" spans="1:7" x14ac:dyDescent="0.25">
      <c r="A119" t="str">
        <f>Break!A119</f>
        <v>Del_Sapna Sharma (1008629)</v>
      </c>
      <c r="B119" t="str">
        <f t="shared" si="16"/>
        <v>Sapna Sharma</v>
      </c>
      <c r="C119" s="5">
        <f t="shared" si="17"/>
        <v>0.33627314814814818</v>
      </c>
      <c r="D119" s="5">
        <f t="shared" si="18"/>
        <v>0.18991898148148148</v>
      </c>
      <c r="E119" s="5">
        <f t="shared" si="19"/>
        <v>6.4317129629629641E-2</v>
      </c>
      <c r="F119">
        <f t="shared" si="20"/>
        <v>76</v>
      </c>
      <c r="G119" s="6">
        <f t="shared" si="21"/>
        <v>0.53239999999999998</v>
      </c>
    </row>
    <row r="120" spans="1:7" x14ac:dyDescent="0.25">
      <c r="A120" t="str">
        <f>Break!A120</f>
        <v>Del_Saroj Parita (1008630)</v>
      </c>
      <c r="B120" t="str">
        <f t="shared" si="16"/>
        <v>Saroj Parita</v>
      </c>
      <c r="C120" s="5">
        <f t="shared" si="17"/>
        <v>0.33471064814814816</v>
      </c>
      <c r="D120" s="5">
        <f t="shared" si="18"/>
        <v>0.18868055555555555</v>
      </c>
      <c r="E120" s="5">
        <f t="shared" si="19"/>
        <v>7.3344907407407414E-2</v>
      </c>
      <c r="F120">
        <f t="shared" si="20"/>
        <v>77</v>
      </c>
      <c r="G120" s="6">
        <f t="shared" si="21"/>
        <v>0.47020000000000001</v>
      </c>
    </row>
    <row r="121" spans="1:7" x14ac:dyDescent="0.25">
      <c r="A121" t="str">
        <f>Break!A121</f>
        <v>Del_Shailaja Kamal (1008631)</v>
      </c>
      <c r="B121" t="str">
        <f t="shared" si="16"/>
        <v>Shailaja Kamal</v>
      </c>
      <c r="C121" s="5">
        <f t="shared" si="17"/>
        <v>0.33974537037037034</v>
      </c>
      <c r="D121" s="5">
        <f t="shared" si="18"/>
        <v>0.20261574074074074</v>
      </c>
      <c r="E121" s="5">
        <f t="shared" si="19"/>
        <v>4.7754629629629626E-2</v>
      </c>
      <c r="F121">
        <f t="shared" si="20"/>
        <v>78</v>
      </c>
      <c r="G121" s="6">
        <f t="shared" si="21"/>
        <v>0.54630000000000001</v>
      </c>
    </row>
    <row r="122" spans="1:7" x14ac:dyDescent="0.25">
      <c r="A122" t="str">
        <f>Break!A122</f>
        <v>Del_Shailendra Barge (1008632)</v>
      </c>
      <c r="B122" t="str">
        <f t="shared" si="16"/>
        <v>Shailendra Barge</v>
      </c>
      <c r="C122" s="5">
        <f t="shared" si="17"/>
        <v>0.34557870370370369</v>
      </c>
      <c r="D122" s="5">
        <f t="shared" si="18"/>
        <v>0.1431597222222222</v>
      </c>
      <c r="E122" s="5">
        <f t="shared" si="19"/>
        <v>0.15493055555555554</v>
      </c>
      <c r="F122">
        <f t="shared" si="20"/>
        <v>79</v>
      </c>
      <c r="G122" s="6">
        <f t="shared" si="21"/>
        <v>0.38819999999999999</v>
      </c>
    </row>
    <row r="123" spans="1:7" x14ac:dyDescent="0.25">
      <c r="A123" t="str">
        <f>Break!A123</f>
        <v>Del_Shankar Attendant (1008633)</v>
      </c>
      <c r="B123" t="str">
        <f t="shared" si="16"/>
        <v>Shankar Attendant</v>
      </c>
      <c r="C123" s="5">
        <f t="shared" si="17"/>
        <v>0.33189814814814816</v>
      </c>
      <c r="D123" s="5">
        <f t="shared" si="18"/>
        <v>0.1439236111111111</v>
      </c>
      <c r="E123" s="5">
        <f t="shared" si="19"/>
        <v>0.13547453703703705</v>
      </c>
      <c r="F123">
        <f t="shared" si="20"/>
        <v>80</v>
      </c>
      <c r="G123" s="6">
        <f t="shared" si="21"/>
        <v>0.40279999999999999</v>
      </c>
    </row>
    <row r="124" spans="1:7" x14ac:dyDescent="0.25">
      <c r="A124" t="str">
        <f>Break!A124</f>
        <v>Del_Shashikant Tiwari (1008634)</v>
      </c>
      <c r="B124" t="str">
        <f t="shared" si="16"/>
        <v>Shashikant Tiwari</v>
      </c>
      <c r="C124" s="5">
        <f t="shared" si="17"/>
        <v>0.34369212962962964</v>
      </c>
      <c r="D124" s="5">
        <f t="shared" si="18"/>
        <v>0.22164351851851852</v>
      </c>
      <c r="E124" s="5">
        <f t="shared" si="19"/>
        <v>4.8599537037037038E-2</v>
      </c>
      <c r="F124">
        <f t="shared" si="20"/>
        <v>81</v>
      </c>
      <c r="G124" s="6">
        <f t="shared" si="21"/>
        <v>0.54349999999999998</v>
      </c>
    </row>
    <row r="125" spans="1:7" x14ac:dyDescent="0.25">
      <c r="A125" t="str">
        <f>Break!A125</f>
        <v>Del_Sheeba Joseph (1008635)</v>
      </c>
      <c r="B125" t="str">
        <f t="shared" si="16"/>
        <v>Sheeba Joseph</v>
      </c>
      <c r="C125" s="5">
        <f t="shared" si="17"/>
        <v>0.3548263888888889</v>
      </c>
      <c r="D125" s="5">
        <f t="shared" si="18"/>
        <v>0.15355324074074075</v>
      </c>
      <c r="E125" s="5">
        <f t="shared" si="19"/>
        <v>3.8645833333333331E-2</v>
      </c>
      <c r="F125">
        <f t="shared" si="20"/>
        <v>82</v>
      </c>
      <c r="G125" s="6">
        <f t="shared" si="21"/>
        <v>0.28370000000000001</v>
      </c>
    </row>
    <row r="126" spans="1:7" x14ac:dyDescent="0.25">
      <c r="A126" t="str">
        <f>Break!A126</f>
        <v>Del_Sheena Joseph (1008636)</v>
      </c>
      <c r="B126" t="str">
        <f t="shared" si="16"/>
        <v>Sheena Joseph</v>
      </c>
      <c r="C126" s="5">
        <f t="shared" si="17"/>
        <v>0.36775462962962963</v>
      </c>
      <c r="D126" s="5">
        <f t="shared" si="18"/>
        <v>0.21557870370370369</v>
      </c>
      <c r="E126" s="5">
        <f t="shared" si="19"/>
        <v>7.048611111111111E-2</v>
      </c>
      <c r="F126">
        <f t="shared" si="20"/>
        <v>83</v>
      </c>
      <c r="G126" s="6">
        <f t="shared" si="21"/>
        <v>0.56200000000000006</v>
      </c>
    </row>
    <row r="127" spans="1:7" x14ac:dyDescent="0.25">
      <c r="A127" t="str">
        <f>Break!A127</f>
        <v>Del_Shephali Jain (1008637)</v>
      </c>
      <c r="B127" t="str">
        <f t="shared" si="16"/>
        <v>Shephali Jain</v>
      </c>
      <c r="C127" s="5">
        <f t="shared" si="17"/>
        <v>0.35119212962962965</v>
      </c>
      <c r="D127" s="5">
        <f t="shared" si="18"/>
        <v>0.15380787037037039</v>
      </c>
      <c r="E127" s="5">
        <f t="shared" si="19"/>
        <v>0.14153935185185185</v>
      </c>
      <c r="F127">
        <f t="shared" si="20"/>
        <v>84</v>
      </c>
      <c r="G127" s="6">
        <f t="shared" si="21"/>
        <v>0.40329999999999999</v>
      </c>
    </row>
    <row r="128" spans="1:7" x14ac:dyDescent="0.25">
      <c r="A128" t="str">
        <f>Break!A128</f>
        <v>Del_Shivji Prasad (1008638)</v>
      </c>
      <c r="B128" t="str">
        <f t="shared" si="16"/>
        <v>Shivji Prasad</v>
      </c>
      <c r="C128" s="5">
        <f t="shared" si="17"/>
        <v>0.34143518518518517</v>
      </c>
      <c r="D128" s="5">
        <f t="shared" si="18"/>
        <v>0.17545138888888889</v>
      </c>
      <c r="E128" s="5">
        <f t="shared" si="19"/>
        <v>9.5694444444444457E-2</v>
      </c>
      <c r="F128">
        <f t="shared" si="20"/>
        <v>85</v>
      </c>
      <c r="G128" s="6">
        <f t="shared" si="21"/>
        <v>0.438</v>
      </c>
    </row>
    <row r="129" spans="1:7" x14ac:dyDescent="0.25">
      <c r="A129" t="str">
        <f>Break!A129</f>
        <v>Del_Shubhanjali Joshi (1008639)</v>
      </c>
      <c r="B129" t="str">
        <f t="shared" si="16"/>
        <v>Shubhanjali Joshi</v>
      </c>
      <c r="C129" s="5">
        <f t="shared" si="17"/>
        <v>0.34533564814814816</v>
      </c>
      <c r="D129" s="5">
        <f t="shared" si="18"/>
        <v>0.20476851851851852</v>
      </c>
      <c r="E129" s="5">
        <f t="shared" si="19"/>
        <v>5.5231481481481486E-2</v>
      </c>
      <c r="F129">
        <f t="shared" si="20"/>
        <v>86</v>
      </c>
      <c r="G129" s="6">
        <f t="shared" si="21"/>
        <v>0.55579999999999996</v>
      </c>
    </row>
    <row r="130" spans="1:7" x14ac:dyDescent="0.25">
      <c r="A130" t="str">
        <f>Break!A130</f>
        <v>Del_Shyamal Malakar (1008640)</v>
      </c>
      <c r="B130" t="str">
        <f t="shared" si="16"/>
        <v>Shyamal Malakar</v>
      </c>
      <c r="C130" s="5">
        <f t="shared" ref="C130:C150" si="22">(VLOOKUP(A130,EData,2,0))</f>
        <v>0.34416666666666668</v>
      </c>
      <c r="D130" s="5">
        <f t="shared" ref="D130:D150" si="23">VLOOKUP(A130,EData,3,0)</f>
        <v>0.12054398148148149</v>
      </c>
      <c r="E130" s="5">
        <f t="shared" ref="E130:E150" si="24">VLOOKUP(A130,BData,9,0)</f>
        <v>0.19140046296296295</v>
      </c>
      <c r="F130">
        <f t="shared" ref="F130:F150" si="25">VLOOKUP(A130,PData,2,0)</f>
        <v>87</v>
      </c>
      <c r="G130" s="6">
        <f t="shared" ref="G130:G150" si="26">VLOOKUP(A130,EData,6,0)</f>
        <v>0.32600000000000001</v>
      </c>
    </row>
    <row r="131" spans="1:7" x14ac:dyDescent="0.25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5">
        <f t="shared" si="22"/>
        <v>0.33975694444444443</v>
      </c>
      <c r="D131" s="5">
        <f t="shared" si="23"/>
        <v>0.21278935185185185</v>
      </c>
      <c r="E131" s="5">
        <f t="shared" si="24"/>
        <v>4.8506944444444443E-2</v>
      </c>
      <c r="F131">
        <f t="shared" si="25"/>
        <v>88</v>
      </c>
      <c r="G131" s="6">
        <f t="shared" si="26"/>
        <v>0.57399999999999995</v>
      </c>
    </row>
    <row r="132" spans="1:7" x14ac:dyDescent="0.25">
      <c r="A132" t="str">
        <f>Break!A132</f>
        <v>Del_Sonaram Munda (1008642)</v>
      </c>
      <c r="B132" t="str">
        <f t="shared" si="27"/>
        <v>Sonaram Munda</v>
      </c>
      <c r="C132" s="5">
        <f t="shared" si="22"/>
        <v>0.33380787037037035</v>
      </c>
      <c r="D132" s="5">
        <f t="shared" si="23"/>
        <v>0.1744212962962963</v>
      </c>
      <c r="E132" s="5">
        <f t="shared" si="24"/>
        <v>8.1423611111111113E-2</v>
      </c>
      <c r="F132">
        <f t="shared" si="25"/>
        <v>89</v>
      </c>
      <c r="G132" s="6">
        <f t="shared" si="26"/>
        <v>0.4536</v>
      </c>
    </row>
    <row r="133" spans="1:7" x14ac:dyDescent="0.25">
      <c r="A133" t="str">
        <f>Break!A133</f>
        <v>Del_Sudama Kumar (1008643)</v>
      </c>
      <c r="B133" t="str">
        <f t="shared" si="27"/>
        <v>Sudama Kumar</v>
      </c>
      <c r="C133" s="5">
        <f t="shared" si="22"/>
        <v>0.34012731481481479</v>
      </c>
      <c r="D133" s="5">
        <f t="shared" si="23"/>
        <v>0.11028935185185185</v>
      </c>
      <c r="E133" s="5">
        <f t="shared" si="24"/>
        <v>0.19189814814814818</v>
      </c>
      <c r="F133">
        <f t="shared" si="25"/>
        <v>90</v>
      </c>
      <c r="G133" s="6">
        <f t="shared" si="26"/>
        <v>0.2969</v>
      </c>
    </row>
    <row r="134" spans="1:7" x14ac:dyDescent="0.25">
      <c r="A134" t="str">
        <f>Break!A134</f>
        <v>Del_Sudhir Kumar (1008644)</v>
      </c>
      <c r="B134" t="str">
        <f t="shared" si="27"/>
        <v>Sudhir Kumar</v>
      </c>
      <c r="C134" s="5">
        <f t="shared" si="22"/>
        <v>0.33354166666666668</v>
      </c>
      <c r="D134" s="5">
        <f t="shared" si="23"/>
        <v>0.19138888888888891</v>
      </c>
      <c r="E134" s="5">
        <f t="shared" si="24"/>
        <v>5.1666666666666666E-2</v>
      </c>
      <c r="F134">
        <f t="shared" si="25"/>
        <v>91</v>
      </c>
      <c r="G134" s="6">
        <f t="shared" si="26"/>
        <v>0.55730000000000002</v>
      </c>
    </row>
    <row r="135" spans="1:7" x14ac:dyDescent="0.25">
      <c r="A135" t="str">
        <f>Break!A135</f>
        <v>Del_Sunil Kumar (1008645)</v>
      </c>
      <c r="B135" t="str">
        <f t="shared" si="27"/>
        <v>Sunil Kumar</v>
      </c>
      <c r="C135" s="5">
        <f t="shared" si="22"/>
        <v>0.3357175925925926</v>
      </c>
      <c r="D135" s="5">
        <f t="shared" si="23"/>
        <v>0.12403935185185185</v>
      </c>
      <c r="E135" s="5">
        <f t="shared" si="24"/>
        <v>0.1645486111111111</v>
      </c>
      <c r="F135">
        <f t="shared" si="25"/>
        <v>92</v>
      </c>
      <c r="G135" s="6">
        <f t="shared" si="26"/>
        <v>0.33279999999999998</v>
      </c>
    </row>
    <row r="136" spans="1:7" x14ac:dyDescent="0.25">
      <c r="A136" t="str">
        <f>Break!A136</f>
        <v>Del_Sunil Kumar (1008646)</v>
      </c>
      <c r="B136" t="str">
        <f t="shared" si="27"/>
        <v>Sunil Kumar</v>
      </c>
      <c r="C136" s="5">
        <f t="shared" si="22"/>
        <v>0.33687500000000004</v>
      </c>
      <c r="D136" s="5">
        <f t="shared" si="23"/>
        <v>0.17017361111111109</v>
      </c>
      <c r="E136" s="5">
        <f t="shared" si="24"/>
        <v>9.5034722222222215E-2</v>
      </c>
      <c r="F136">
        <f t="shared" si="25"/>
        <v>93</v>
      </c>
      <c r="G136" s="6">
        <f t="shared" si="26"/>
        <v>0.4723</v>
      </c>
    </row>
    <row r="137" spans="1:7" x14ac:dyDescent="0.25">
      <c r="A137" t="str">
        <f>Break!A137</f>
        <v>Del_Sunita Chawla (1008647)</v>
      </c>
      <c r="B137" t="str">
        <f t="shared" si="27"/>
        <v>Sunita Chawla</v>
      </c>
      <c r="C137" s="5">
        <f t="shared" si="22"/>
        <v>0.33709490740740744</v>
      </c>
      <c r="D137" s="5">
        <f t="shared" si="23"/>
        <v>0.18885416666666666</v>
      </c>
      <c r="E137" s="5">
        <f t="shared" si="24"/>
        <v>8.7997685185185193E-2</v>
      </c>
      <c r="F137">
        <f t="shared" si="25"/>
        <v>94</v>
      </c>
      <c r="G137" s="6">
        <f t="shared" si="26"/>
        <v>0.5111</v>
      </c>
    </row>
    <row r="138" spans="1:7" x14ac:dyDescent="0.25">
      <c r="A138" t="str">
        <f>Break!A138</f>
        <v>Del_Sunita Madnani (1008648)</v>
      </c>
      <c r="B138" t="str">
        <f t="shared" si="27"/>
        <v>Sunita Madnani</v>
      </c>
      <c r="C138" s="5">
        <f t="shared" si="22"/>
        <v>0.34307870370370369</v>
      </c>
      <c r="D138" s="5">
        <f t="shared" si="23"/>
        <v>0.22166666666666668</v>
      </c>
      <c r="E138" s="5">
        <f t="shared" si="24"/>
        <v>4.7395833333333331E-2</v>
      </c>
      <c r="F138">
        <f t="shared" si="25"/>
        <v>95</v>
      </c>
      <c r="G138" s="6">
        <f t="shared" si="26"/>
        <v>0.58889999999999998</v>
      </c>
    </row>
    <row r="139" spans="1:7" x14ac:dyDescent="0.25">
      <c r="A139" t="str">
        <f>Break!A139</f>
        <v>Del_Surendra Kumar (1008649)</v>
      </c>
      <c r="B139" t="str">
        <f t="shared" si="27"/>
        <v>Surendra Kumar</v>
      </c>
      <c r="C139" s="5">
        <f t="shared" si="22"/>
        <v>0.31192129629629628</v>
      </c>
      <c r="D139" s="5">
        <f t="shared" si="23"/>
        <v>0.12112268518518519</v>
      </c>
      <c r="E139" s="5">
        <f t="shared" si="24"/>
        <v>0.1575462962962963</v>
      </c>
      <c r="F139">
        <f t="shared" si="25"/>
        <v>96</v>
      </c>
      <c r="G139" s="6">
        <f t="shared" si="26"/>
        <v>0.34289999999999998</v>
      </c>
    </row>
    <row r="140" spans="1:7" x14ac:dyDescent="0.25">
      <c r="A140" t="str">
        <f>Break!A140</f>
        <v>Del_Surendranath Thakur (1008650)</v>
      </c>
      <c r="B140" t="str">
        <f t="shared" si="27"/>
        <v>Surendranath Thakur</v>
      </c>
      <c r="C140" s="5">
        <f t="shared" si="22"/>
        <v>0.35686342592592596</v>
      </c>
      <c r="D140" s="5">
        <f t="shared" si="23"/>
        <v>0.19224537037037037</v>
      </c>
      <c r="E140" s="5">
        <f t="shared" si="24"/>
        <v>9.5196759259259259E-2</v>
      </c>
      <c r="F140">
        <f t="shared" si="25"/>
        <v>97</v>
      </c>
      <c r="G140" s="6">
        <f t="shared" si="26"/>
        <v>0.4975</v>
      </c>
    </row>
    <row r="141" spans="1:7" x14ac:dyDescent="0.25">
      <c r="A141" t="str">
        <f>Break!A141</f>
        <v>Del_Sushma Khandelwal (1008651)</v>
      </c>
      <c r="B141" t="str">
        <f t="shared" si="27"/>
        <v>Sushma Khandelwal</v>
      </c>
      <c r="C141" s="5">
        <f t="shared" si="22"/>
        <v>0.34392361111111108</v>
      </c>
      <c r="D141" s="5">
        <f t="shared" si="23"/>
        <v>0.20146990740740742</v>
      </c>
      <c r="E141" s="5">
        <f t="shared" si="24"/>
        <v>4.8854166666666664E-2</v>
      </c>
      <c r="F141">
        <f t="shared" si="25"/>
        <v>98</v>
      </c>
      <c r="G141" s="6">
        <f t="shared" si="26"/>
        <v>0.52429999999999999</v>
      </c>
    </row>
    <row r="142" spans="1:7" x14ac:dyDescent="0.25">
      <c r="A142" t="str">
        <f>Break!A142</f>
        <v>Del_Swarnlata Borse (1008652)</v>
      </c>
      <c r="B142" t="str">
        <f t="shared" si="27"/>
        <v>Swarnlata Borse</v>
      </c>
      <c r="C142" s="5">
        <f t="shared" si="22"/>
        <v>0.34658564814814818</v>
      </c>
      <c r="D142" s="5">
        <f t="shared" si="23"/>
        <v>0.12475694444444445</v>
      </c>
      <c r="E142" s="5">
        <f t="shared" si="24"/>
        <v>0.18931712962962963</v>
      </c>
      <c r="F142">
        <f t="shared" si="25"/>
        <v>99</v>
      </c>
      <c r="G142" s="6">
        <f t="shared" si="26"/>
        <v>0.31069999999999998</v>
      </c>
    </row>
    <row r="143" spans="1:7" x14ac:dyDescent="0.25">
      <c r="A143" t="str">
        <f>Break!A143</f>
        <v>Del_Syed Naved (1008653)</v>
      </c>
      <c r="B143" t="str">
        <f t="shared" si="27"/>
        <v>Syed Naved</v>
      </c>
      <c r="C143" s="5">
        <f t="shared" si="22"/>
        <v>0.34281249999999996</v>
      </c>
      <c r="D143" s="5">
        <f t="shared" si="23"/>
        <v>0.22505787037037037</v>
      </c>
      <c r="E143" s="5">
        <f t="shared" si="24"/>
        <v>5.1898148148148145E-2</v>
      </c>
      <c r="F143">
        <f t="shared" si="25"/>
        <v>100</v>
      </c>
      <c r="G143" s="6">
        <f t="shared" si="26"/>
        <v>0.58460000000000001</v>
      </c>
    </row>
    <row r="144" spans="1:7" x14ac:dyDescent="0.25">
      <c r="A144" t="str">
        <f>Break!A144</f>
        <v>Del_Syed Saqib (1008654)</v>
      </c>
      <c r="B144" t="str">
        <f t="shared" si="27"/>
        <v>Syed Saqib</v>
      </c>
      <c r="C144" s="5">
        <f t="shared" si="22"/>
        <v>0.35055555555555556</v>
      </c>
      <c r="D144" s="5">
        <f t="shared" si="23"/>
        <v>0.11953703703703704</v>
      </c>
      <c r="E144" s="5">
        <f t="shared" si="24"/>
        <v>0.21081018518518521</v>
      </c>
      <c r="F144">
        <f t="shared" si="25"/>
        <v>101</v>
      </c>
      <c r="G144" s="6">
        <f t="shared" si="26"/>
        <v>0.31690000000000002</v>
      </c>
    </row>
    <row r="145" spans="1:7" x14ac:dyDescent="0.25">
      <c r="A145" t="str">
        <f>Break!A145</f>
        <v>Del_Syed Sohail (1008655)</v>
      </c>
      <c r="B145" t="str">
        <f t="shared" si="27"/>
        <v>Syed Sohail</v>
      </c>
      <c r="C145" s="5">
        <f t="shared" si="22"/>
        <v>0.34575231481481478</v>
      </c>
      <c r="D145" s="5">
        <f t="shared" si="23"/>
        <v>0.20268518518518519</v>
      </c>
      <c r="E145" s="5">
        <f t="shared" si="24"/>
        <v>5.004629629629629E-2</v>
      </c>
      <c r="F145">
        <f t="shared" si="25"/>
        <v>102</v>
      </c>
      <c r="G145" s="6">
        <f t="shared" si="26"/>
        <v>0.56379999999999997</v>
      </c>
    </row>
    <row r="146" spans="1:7" x14ac:dyDescent="0.25">
      <c r="A146" t="str">
        <f>Break!A146</f>
        <v>Del_System Operator (1008656)</v>
      </c>
      <c r="B146" t="str">
        <f t="shared" si="27"/>
        <v>System Operator</v>
      </c>
      <c r="C146" s="5">
        <f t="shared" si="22"/>
        <v>0.35479166666666667</v>
      </c>
      <c r="D146" s="5">
        <f t="shared" si="23"/>
        <v>0.21916666666666665</v>
      </c>
      <c r="E146" s="5">
        <f t="shared" si="24"/>
        <v>3.8946759259259257E-2</v>
      </c>
      <c r="F146">
        <f t="shared" si="25"/>
        <v>103</v>
      </c>
      <c r="G146" s="6">
        <f t="shared" si="26"/>
        <v>0.54779999999999995</v>
      </c>
    </row>
    <row r="147" spans="1:7" x14ac:dyDescent="0.25">
      <c r="A147" t="str">
        <f>Break!A147</f>
        <v>Del_Tahira Qureshi (1008657)</v>
      </c>
      <c r="B147" t="str">
        <f t="shared" si="27"/>
        <v>Tahira Qureshi</v>
      </c>
      <c r="C147" s="5">
        <f t="shared" si="22"/>
        <v>0.36542824074074076</v>
      </c>
      <c r="D147" s="5">
        <f t="shared" si="23"/>
        <v>0.15059027777777778</v>
      </c>
      <c r="E147" s="5">
        <f t="shared" si="24"/>
        <v>0.16840277777777779</v>
      </c>
      <c r="F147">
        <f t="shared" si="25"/>
        <v>104</v>
      </c>
      <c r="G147" s="6">
        <f t="shared" si="26"/>
        <v>0.37969999999999998</v>
      </c>
    </row>
    <row r="148" spans="1:7" x14ac:dyDescent="0.25">
      <c r="A148" t="str">
        <f>Break!A148</f>
        <v>Del_Tapas Chakraborty (1008658)</v>
      </c>
      <c r="B148" t="str">
        <f t="shared" si="27"/>
        <v>Tapas Chakraborty</v>
      </c>
      <c r="C148" s="5">
        <f t="shared" si="22"/>
        <v>0.34370370370370368</v>
      </c>
      <c r="D148" s="5">
        <f t="shared" si="23"/>
        <v>0.21891203703703702</v>
      </c>
      <c r="E148" s="5">
        <f t="shared" si="24"/>
        <v>5.0127314814814812E-2</v>
      </c>
      <c r="F148">
        <f t="shared" si="25"/>
        <v>105</v>
      </c>
      <c r="G148" s="6">
        <f t="shared" si="26"/>
        <v>0.56530000000000002</v>
      </c>
    </row>
    <row r="149" spans="1:7" x14ac:dyDescent="0.25">
      <c r="A149" t="str">
        <f>Break!A149</f>
        <v>Del_Tariq Akhlaq (1008659)</v>
      </c>
      <c r="B149" t="str">
        <f t="shared" si="27"/>
        <v>Tariq Akhlaq</v>
      </c>
      <c r="C149" s="5">
        <f t="shared" si="22"/>
        <v>0.20827546296296295</v>
      </c>
      <c r="D149" s="5">
        <f t="shared" si="23"/>
        <v>0.1310300925925926</v>
      </c>
      <c r="E149" s="5">
        <f t="shared" si="24"/>
        <v>1.045138888888889E-2</v>
      </c>
      <c r="F149">
        <f t="shared" si="25"/>
        <v>106</v>
      </c>
      <c r="G149" s="6">
        <f t="shared" si="26"/>
        <v>0.60260000000000002</v>
      </c>
    </row>
    <row r="150" spans="1:7" x14ac:dyDescent="0.25">
      <c r="A150" t="str">
        <f>Break!A150</f>
        <v>Del_Tasneem Khan (1008660)</v>
      </c>
      <c r="B150" t="str">
        <f t="shared" si="27"/>
        <v>Tasneem Khan</v>
      </c>
      <c r="C150" s="5">
        <f t="shared" si="22"/>
        <v>0.35688657407407409</v>
      </c>
      <c r="D150" s="5">
        <f t="shared" si="23"/>
        <v>0.19362268518518519</v>
      </c>
      <c r="E150" s="5">
        <f t="shared" si="24"/>
        <v>9.5034722222222215E-2</v>
      </c>
      <c r="F150">
        <f t="shared" si="25"/>
        <v>107</v>
      </c>
      <c r="G150" s="6">
        <f t="shared" si="26"/>
        <v>0.49809999999999999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9"/>
  <sheetViews>
    <sheetView tabSelected="1" zoomScale="110" zoomScaleNormal="110" workbookViewId="0">
      <selection activeCell="D5" sqref="D5"/>
    </sheetView>
  </sheetViews>
  <sheetFormatPr defaultRowHeight="15" x14ac:dyDescent="0.25"/>
  <cols>
    <col min="1" max="1" width="14.28515625" customWidth="1"/>
    <col min="2" max="2" width="36.28515625" customWidth="1"/>
    <col min="4" max="4" width="18.42578125" customWidth="1"/>
    <col min="5" max="5" width="37" bestFit="1" customWidth="1"/>
  </cols>
  <sheetData>
    <row r="1" spans="1:5" x14ac:dyDescent="0.25">
      <c r="A1" s="10"/>
      <c r="B1" s="10"/>
      <c r="C1" s="11">
        <v>5</v>
      </c>
      <c r="D1" s="10"/>
      <c r="E1" s="10"/>
    </row>
    <row r="2" spans="1:5" x14ac:dyDescent="0.25">
      <c r="A2" s="10"/>
      <c r="B2" s="10"/>
      <c r="D2" s="10"/>
      <c r="E2" s="10"/>
    </row>
    <row r="3" spans="1:5" ht="24.75" customHeight="1" x14ac:dyDescent="0.25">
      <c r="A3" s="12" t="s">
        <v>192</v>
      </c>
      <c r="B3" s="12"/>
      <c r="C3" t="s">
        <v>193</v>
      </c>
      <c r="D3" s="12" t="s">
        <v>195</v>
      </c>
      <c r="E3" s="12"/>
    </row>
    <row r="4" spans="1:5" x14ac:dyDescent="0.25">
      <c r="A4" s="9" t="s">
        <v>185</v>
      </c>
      <c r="B4" s="8" t="s">
        <v>191</v>
      </c>
      <c r="D4" s="9" t="s">
        <v>185</v>
      </c>
      <c r="E4" s="8" t="s">
        <v>194</v>
      </c>
    </row>
    <row r="5" spans="1:5" x14ac:dyDescent="0.25">
      <c r="A5" s="7" t="s">
        <v>186</v>
      </c>
      <c r="B5" s="5">
        <v>1.3668402777777777</v>
      </c>
      <c r="D5" s="7" t="s">
        <v>186</v>
      </c>
      <c r="E5" s="2">
        <v>2.0905</v>
      </c>
    </row>
    <row r="6" spans="1:5" x14ac:dyDescent="0.25">
      <c r="A6" s="7" t="s">
        <v>187</v>
      </c>
      <c r="B6" s="5">
        <v>0.66396990740740736</v>
      </c>
      <c r="D6" s="7" t="s">
        <v>187</v>
      </c>
      <c r="E6" s="2">
        <v>1.0643</v>
      </c>
    </row>
    <row r="7" spans="1:5" x14ac:dyDescent="0.25">
      <c r="A7" s="7" t="s">
        <v>188</v>
      </c>
      <c r="B7" s="5">
        <v>0.67937500000000006</v>
      </c>
      <c r="D7" s="7" t="s">
        <v>188</v>
      </c>
      <c r="E7" s="2">
        <v>1.1227999999999998</v>
      </c>
    </row>
    <row r="8" spans="1:5" x14ac:dyDescent="0.25">
      <c r="A8" s="7" t="s">
        <v>189</v>
      </c>
      <c r="B8" s="5">
        <v>1.0142939814814815</v>
      </c>
      <c r="D8" s="7" t="s">
        <v>189</v>
      </c>
      <c r="E8" s="2">
        <v>1.7236</v>
      </c>
    </row>
    <row r="9" spans="1:5" x14ac:dyDescent="0.25">
      <c r="A9" s="7" t="s">
        <v>190</v>
      </c>
      <c r="B9" s="5">
        <v>0.67259259259259263</v>
      </c>
      <c r="D9" s="7" t="s">
        <v>190</v>
      </c>
      <c r="E9" s="2">
        <v>0.80509999999999993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Spinner 1">
              <controlPr defaultSize="0" autoPict="0" macro="[0]!Spinner1">
                <anchor moveWithCells="1" sizeWithCells="1">
                  <from>
                    <xdr:col>1</xdr:col>
                    <xdr:colOff>876300</xdr:colOff>
                    <xdr:row>0</xdr:row>
                    <xdr:rowOff>0</xdr:rowOff>
                  </from>
                  <to>
                    <xdr:col>1</xdr:col>
                    <xdr:colOff>1028700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2023-05-10T16:57:39Z</dcterms:created>
  <dcterms:modified xsi:type="dcterms:W3CDTF">2023-05-10T19:20:22Z</dcterms:modified>
</cp:coreProperties>
</file>